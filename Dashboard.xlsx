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 analytics soft\Excel Projects\MINI PROJECT DATASET - WEEK 03\"/>
    </mc:Choice>
  </mc:AlternateContent>
  <bookViews>
    <workbookView xWindow="0" yWindow="0" windowWidth="19635" windowHeight="7620" activeTab="4"/>
  </bookViews>
  <sheets>
    <sheet name="Data" sheetId="1" r:id="rId1"/>
    <sheet name="Regional goal" sheetId="2" r:id="rId2"/>
    <sheet name="Pivot Tables" sheetId="3" r:id="rId3"/>
    <sheet name="Dashboard" sheetId="5" r:id="rId4"/>
    <sheet name="Insights" sheetId="6" r:id="rId5"/>
  </sheets>
  <definedNames>
    <definedName name="_xlnm._FilterDatabase" localSheetId="0" hidden="1">Data!$A$1:$AD$101</definedName>
    <definedName name="_xlnm._FilterDatabase" localSheetId="1" hidden="1">'Regional goal'!$E$23:$F$32</definedName>
    <definedName name="Slicer_Customer_Type">#N/A</definedName>
    <definedName name="Slicer_Monthwise_Order">#N/A</definedName>
    <definedName name="Slicer_Payment_Method">#N/A</definedName>
    <definedName name="Slicer_Region">#N/A</definedName>
  </definedNames>
  <calcPr calcId="152511"/>
  <pivotCaches>
    <pivotCache cacheId="0" r:id="rId6"/>
    <pivotCache cacheId="1" r:id="rId7"/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6" l="1"/>
  <c r="G27" i="3"/>
  <c r="F27" i="3"/>
  <c r="G26" i="3"/>
  <c r="F26" i="3"/>
  <c r="K21" i="3"/>
  <c r="AC14" i="3"/>
  <c r="S13" i="3"/>
  <c r="R13" i="3"/>
  <c r="AC12" i="3"/>
  <c r="S12" i="3"/>
  <c r="R12" i="3"/>
  <c r="S11" i="3"/>
  <c r="R11" i="3"/>
  <c r="S9" i="3"/>
  <c r="R9" i="3"/>
  <c r="C21" i="2"/>
  <c r="C12" i="2" s="1"/>
  <c r="B16" i="2"/>
  <c r="C16" i="2" s="1"/>
  <c r="B15" i="2"/>
  <c r="C15" i="2" s="1"/>
  <c r="B14" i="2"/>
  <c r="C14" i="2" s="1"/>
  <c r="B13" i="2"/>
  <c r="C13" i="2" s="1"/>
  <c r="B12" i="2"/>
  <c r="I7" i="2"/>
  <c r="H7" i="2"/>
  <c r="G7" i="2"/>
  <c r="C7" i="2"/>
  <c r="D7" i="2" s="1"/>
  <c r="H6" i="2"/>
  <c r="G6" i="2"/>
  <c r="I6" i="2" s="1"/>
  <c r="D6" i="2"/>
  <c r="C6" i="2"/>
  <c r="H5" i="2"/>
  <c r="G5" i="2"/>
  <c r="I5" i="2" s="1"/>
  <c r="C5" i="2"/>
  <c r="D5" i="2" s="1"/>
  <c r="H4" i="2"/>
  <c r="J11" i="2" s="1"/>
  <c r="G4" i="2"/>
  <c r="C4" i="2"/>
  <c r="D4" i="2" s="1"/>
  <c r="I3" i="2"/>
  <c r="H3" i="2"/>
  <c r="G3" i="2"/>
  <c r="C3" i="2"/>
  <c r="D3" i="2" s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AD9" i="1"/>
  <c r="AC9" i="1"/>
  <c r="Z9" i="1"/>
  <c r="W9" i="1"/>
  <c r="V9" i="1"/>
  <c r="AD8" i="1"/>
  <c r="AC8" i="1"/>
  <c r="Z8" i="1"/>
  <c r="W8" i="1"/>
  <c r="V8" i="1"/>
  <c r="W7" i="1"/>
  <c r="V7" i="1"/>
  <c r="W6" i="1"/>
  <c r="V6" i="1"/>
  <c r="W5" i="1"/>
  <c r="V5" i="1"/>
  <c r="AD4" i="1"/>
  <c r="AC4" i="1"/>
  <c r="Z4" i="1"/>
  <c r="W4" i="1"/>
  <c r="V4" i="1"/>
  <c r="AD3" i="1"/>
  <c r="AC3" i="1"/>
  <c r="Z3" i="1"/>
  <c r="W3" i="1"/>
  <c r="V3" i="1"/>
  <c r="AD2" i="1"/>
  <c r="AC2" i="1"/>
  <c r="Z2" i="1"/>
  <c r="W2" i="1"/>
  <c r="V2" i="1"/>
  <c r="X9" i="1"/>
  <c r="X4" i="1"/>
  <c r="Y2" i="1"/>
  <c r="Y8" i="1"/>
  <c r="Y3" i="1"/>
  <c r="X2" i="1"/>
  <c r="Y9" i="1"/>
  <c r="X8" i="1"/>
  <c r="Y4" i="1"/>
  <c r="X3" i="1"/>
  <c r="I4" i="2" l="1"/>
  <c r="I11" i="2"/>
  <c r="J13" i="2" s="1"/>
</calcChain>
</file>

<file path=xl/sharedStrings.xml><?xml version="1.0" encoding="utf-8"?>
<sst xmlns="http://schemas.openxmlformats.org/spreadsheetml/2006/main" count="1630" uniqueCount="365">
  <si>
    <t>Order ID</t>
  </si>
  <si>
    <t>Order Date</t>
  </si>
  <si>
    <t xml:space="preserve">Monthwise Order </t>
  </si>
  <si>
    <t>Delivery Date</t>
  </si>
  <si>
    <t>Cancel Date</t>
  </si>
  <si>
    <t>Customer ID</t>
  </si>
  <si>
    <t>Customer Name</t>
  </si>
  <si>
    <t>Customer Type</t>
  </si>
  <si>
    <t>State</t>
  </si>
  <si>
    <t>City</t>
  </si>
  <si>
    <t>Product ID</t>
  </si>
  <si>
    <t>Region</t>
  </si>
  <si>
    <t xml:space="preserve">Product Name </t>
  </si>
  <si>
    <t>Category</t>
  </si>
  <si>
    <t>Cost Price/Unit</t>
  </si>
  <si>
    <t>Sale Price/Unit</t>
  </si>
  <si>
    <t>Quantity</t>
  </si>
  <si>
    <t>Total Amount</t>
  </si>
  <si>
    <t>Payment Method</t>
  </si>
  <si>
    <t>Delivery Status</t>
  </si>
  <si>
    <t>Fulfillment Partner</t>
  </si>
  <si>
    <t>Avg. Delivery Time</t>
  </si>
  <si>
    <t>Delivery Performance</t>
  </si>
  <si>
    <t>Target Sales(region)</t>
  </si>
  <si>
    <t>Sales Achieved (region)</t>
  </si>
  <si>
    <t>Total Cancelled Orders</t>
  </si>
  <si>
    <t>Total Fast delivery</t>
  </si>
  <si>
    <t>Total Slow Deliveries</t>
  </si>
  <si>
    <t>Fast Delivery percentage</t>
  </si>
  <si>
    <t>Cancelled Rate</t>
  </si>
  <si>
    <t>ORD0001</t>
  </si>
  <si>
    <t>Dec</t>
  </si>
  <si>
    <t>CUST021</t>
  </si>
  <si>
    <t>Zoe Mitchell</t>
  </si>
  <si>
    <t>Individual</t>
  </si>
  <si>
    <t>Texas</t>
  </si>
  <si>
    <t>Austin</t>
  </si>
  <si>
    <t>PROD012</t>
  </si>
  <si>
    <t>North</t>
  </si>
  <si>
    <t>Lamp</t>
  </si>
  <si>
    <t>Home</t>
  </si>
  <si>
    <t>Apple Pay</t>
  </si>
  <si>
    <t>Cancelled</t>
  </si>
  <si>
    <t>DHL</t>
  </si>
  <si>
    <t>ORD0002</t>
  </si>
  <si>
    <t>Feb</t>
  </si>
  <si>
    <t>CUST029</t>
  </si>
  <si>
    <t>Ava White</t>
  </si>
  <si>
    <t>Florida</t>
  </si>
  <si>
    <t>Miami</t>
  </si>
  <si>
    <t>PROD018</t>
  </si>
  <si>
    <t>East</t>
  </si>
  <si>
    <t>Doll House</t>
  </si>
  <si>
    <t>Toys</t>
  </si>
  <si>
    <t>Credit Card</t>
  </si>
  <si>
    <t>Delivered</t>
  </si>
  <si>
    <t>ORD0003</t>
  </si>
  <si>
    <t>Oct</t>
  </si>
  <si>
    <t>PROD013</t>
  </si>
  <si>
    <t>South</t>
  </si>
  <si>
    <t>Vacuum Cleaner</t>
  </si>
  <si>
    <t>In Transit</t>
  </si>
  <si>
    <t>USPS</t>
  </si>
  <si>
    <t>ORD0004</t>
  </si>
  <si>
    <t>May</t>
  </si>
  <si>
    <t>CUST044</t>
  </si>
  <si>
    <t>Grace Ward</t>
  </si>
  <si>
    <t>Business</t>
  </si>
  <si>
    <t>Arizona</t>
  </si>
  <si>
    <t>Phoenix</t>
  </si>
  <si>
    <t>PayPal</t>
  </si>
  <si>
    <t>UPS</t>
  </si>
  <si>
    <t>ORD0005</t>
  </si>
  <si>
    <t>CUST027</t>
  </si>
  <si>
    <t>Hazel Brooks</t>
  </si>
  <si>
    <t>Washington</t>
  </si>
  <si>
    <t>Seattle</t>
  </si>
  <si>
    <t>PROD010</t>
  </si>
  <si>
    <t>Jeans</t>
  </si>
  <si>
    <t>Fashion</t>
  </si>
  <si>
    <t>Amazon Logistics</t>
  </si>
  <si>
    <t>ORD0006</t>
  </si>
  <si>
    <t>Nov</t>
  </si>
  <si>
    <t>CUST009</t>
  </si>
  <si>
    <t>Jackson Allen</t>
  </si>
  <si>
    <t>Amazon Pay</t>
  </si>
  <si>
    <t>ORD0007</t>
  </si>
  <si>
    <t>Aug</t>
  </si>
  <si>
    <t>CUST042</t>
  </si>
  <si>
    <t>Noah Wilson</t>
  </si>
  <si>
    <t>Prime</t>
  </si>
  <si>
    <t>PROD020</t>
  </si>
  <si>
    <t>Central</t>
  </si>
  <si>
    <t>Bluetooth Speaker</t>
  </si>
  <si>
    <t>Electronics</t>
  </si>
  <si>
    <t>Debit Card</t>
  </si>
  <si>
    <t>ORD0008</t>
  </si>
  <si>
    <t>Apr</t>
  </si>
  <si>
    <t>CUST019</t>
  </si>
  <si>
    <t>Ava Robinson</t>
  </si>
  <si>
    <t>PROD021</t>
  </si>
  <si>
    <t>West</t>
  </si>
  <si>
    <t>Wall Clock</t>
  </si>
  <si>
    <t>ORD0009</t>
  </si>
  <si>
    <t>Jul</t>
  </si>
  <si>
    <t>CUST013</t>
  </si>
  <si>
    <t>Olivia Martinez</t>
  </si>
  <si>
    <t>PROD019</t>
  </si>
  <si>
    <t>Formal Shirt</t>
  </si>
  <si>
    <t>ORD0010</t>
  </si>
  <si>
    <t>PROD003</t>
  </si>
  <si>
    <t>Cookware Set</t>
  </si>
  <si>
    <t>ORD0011</t>
  </si>
  <si>
    <t>CUST046</t>
  </si>
  <si>
    <t>Emily Johnson</t>
  </si>
  <si>
    <t>Illinois</t>
  </si>
  <si>
    <t>Chicago</t>
  </si>
  <si>
    <t>PROD014</t>
  </si>
  <si>
    <t>Smartwatch</t>
  </si>
  <si>
    <t>ORD0012</t>
  </si>
  <si>
    <t>CUST045</t>
  </si>
  <si>
    <t>FedEx</t>
  </si>
  <si>
    <t>ORD0013</t>
  </si>
  <si>
    <t>CUST023</t>
  </si>
  <si>
    <t>Charlotte Reed</t>
  </si>
  <si>
    <t>PROD006</t>
  </si>
  <si>
    <t>Shoes</t>
  </si>
  <si>
    <t>ORD0014</t>
  </si>
  <si>
    <t>CUST033</t>
  </si>
  <si>
    <t>Hazel Rivera</t>
  </si>
  <si>
    <t>PROD017</t>
  </si>
  <si>
    <t>Gaming Mouse</t>
  </si>
  <si>
    <t>ORD0015</t>
  </si>
  <si>
    <t>PROD005</t>
  </si>
  <si>
    <t>T-Shirt</t>
  </si>
  <si>
    <t>ORD0016</t>
  </si>
  <si>
    <t>CUST047</t>
  </si>
  <si>
    <t>Scarlett Murphy</t>
  </si>
  <si>
    <t>ORD0017</t>
  </si>
  <si>
    <t>Jun</t>
  </si>
  <si>
    <t>PROD015</t>
  </si>
  <si>
    <t>Novel</t>
  </si>
  <si>
    <t>Books</t>
  </si>
  <si>
    <t>ORD0018</t>
  </si>
  <si>
    <t>CUST011</t>
  </si>
  <si>
    <t>Mason Hall</t>
  </si>
  <si>
    <t>PROD008</t>
  </si>
  <si>
    <t>Textbook</t>
  </si>
  <si>
    <t>ORD0019</t>
  </si>
  <si>
    <t>CUST041</t>
  </si>
  <si>
    <t>Jacob Price</t>
  </si>
  <si>
    <t>ORD0020</t>
  </si>
  <si>
    <t>CUST025</t>
  </si>
  <si>
    <t>Emma King</t>
  </si>
  <si>
    <t>PROD001</t>
  </si>
  <si>
    <t>Smartphone</t>
  </si>
  <si>
    <t>ORD0021</t>
  </si>
  <si>
    <t>ORD0022</t>
  </si>
  <si>
    <t>ORD0023</t>
  </si>
  <si>
    <t>CUST016</t>
  </si>
  <si>
    <t>Elijah Lewis</t>
  </si>
  <si>
    <t>ORD0024</t>
  </si>
  <si>
    <t>CUST028</t>
  </si>
  <si>
    <t>Lily Bennett</t>
  </si>
  <si>
    <t>ORD0025</t>
  </si>
  <si>
    <t>CUST040</t>
  </si>
  <si>
    <t>Benjamin Clark</t>
  </si>
  <si>
    <t>PROD002</t>
  </si>
  <si>
    <t>Action Figure</t>
  </si>
  <si>
    <t>ORD0026</t>
  </si>
  <si>
    <t>PROD022</t>
  </si>
  <si>
    <t>Backpack</t>
  </si>
  <si>
    <t>ORD0027</t>
  </si>
  <si>
    <t>Jan</t>
  </si>
  <si>
    <t>CUST018</t>
  </si>
  <si>
    <t>Grace Scott</t>
  </si>
  <si>
    <t>ORD0028</t>
  </si>
  <si>
    <t>ORD0029</t>
  </si>
  <si>
    <t>CUST007</t>
  </si>
  <si>
    <t>Liam Walker</t>
  </si>
  <si>
    <t>California</t>
  </si>
  <si>
    <t>San Francisco</t>
  </si>
  <si>
    <t>ORD0030</t>
  </si>
  <si>
    <t>CUST008</t>
  </si>
  <si>
    <t>Harper Young</t>
  </si>
  <si>
    <t>Dallas</t>
  </si>
  <si>
    <t>ORD0031</t>
  </si>
  <si>
    <t>Mar</t>
  </si>
  <si>
    <t>CUST014</t>
  </si>
  <si>
    <t>ORD0032</t>
  </si>
  <si>
    <t>CUST037</t>
  </si>
  <si>
    <t>PROD009</t>
  </si>
  <si>
    <t>Magazine</t>
  </si>
  <si>
    <t>ORD0033</t>
  </si>
  <si>
    <t>ORD0034</t>
  </si>
  <si>
    <t>ORD0035</t>
  </si>
  <si>
    <t>CUST032</t>
  </si>
  <si>
    <t>Luke Gray</t>
  </si>
  <si>
    <t>PROD011</t>
  </si>
  <si>
    <t>Headphones</t>
  </si>
  <si>
    <t>ORD0036</t>
  </si>
  <si>
    <t>PROD016</t>
  </si>
  <si>
    <t>Cookware Set Pro</t>
  </si>
  <si>
    <t>ORD0037</t>
  </si>
  <si>
    <t>ORD0038</t>
  </si>
  <si>
    <t>PROD007</t>
  </si>
  <si>
    <t>Puzzle</t>
  </si>
  <si>
    <t>ORD0039</t>
  </si>
  <si>
    <t>CUST024</t>
  </si>
  <si>
    <t>ORD0040</t>
  </si>
  <si>
    <t>CUST006</t>
  </si>
  <si>
    <t>PROD004</t>
  </si>
  <si>
    <t>Leg Set</t>
  </si>
  <si>
    <t>ORD0041</t>
  </si>
  <si>
    <t>Sep</t>
  </si>
  <si>
    <t>CUST001</t>
  </si>
  <si>
    <t>James Miller</t>
  </si>
  <si>
    <t>New York</t>
  </si>
  <si>
    <t>ORD0042</t>
  </si>
  <si>
    <t>ORD0043</t>
  </si>
  <si>
    <t>ORD0044</t>
  </si>
  <si>
    <t>ORD0045</t>
  </si>
  <si>
    <t>ORD0046</t>
  </si>
  <si>
    <t>CUST039</t>
  </si>
  <si>
    <t>Logan Ramirez</t>
  </si>
  <si>
    <t>ORD0047</t>
  </si>
  <si>
    <t>ORD0048</t>
  </si>
  <si>
    <t>ORD0049</t>
  </si>
  <si>
    <t>CUST026</t>
  </si>
  <si>
    <t>ORD0050</t>
  </si>
  <si>
    <t>ORD0051</t>
  </si>
  <si>
    <t>ORD0052</t>
  </si>
  <si>
    <t>ORD0053</t>
  </si>
  <si>
    <t>ORD0054</t>
  </si>
  <si>
    <t>ORD0055</t>
  </si>
  <si>
    <t>ORD0056</t>
  </si>
  <si>
    <t>CUST017</t>
  </si>
  <si>
    <t>ORD0057</t>
  </si>
  <si>
    <t>ORD0058</t>
  </si>
  <si>
    <t>ORD0059</t>
  </si>
  <si>
    <t>CUST003</t>
  </si>
  <si>
    <t>Ethan Davis</t>
  </si>
  <si>
    <t>ORD0060</t>
  </si>
  <si>
    <t>ORD0061</t>
  </si>
  <si>
    <t>CUST035</t>
  </si>
  <si>
    <t>Scarlett Adams</t>
  </si>
  <si>
    <t>ORD0062</t>
  </si>
  <si>
    <t>CUST022</t>
  </si>
  <si>
    <t>ORD0063</t>
  </si>
  <si>
    <t>CUST004</t>
  </si>
  <si>
    <t>ORD0064</t>
  </si>
  <si>
    <t>CUST048</t>
  </si>
  <si>
    <t>ORD0065</t>
  </si>
  <si>
    <t>ORD0066</t>
  </si>
  <si>
    <t>ORD0067</t>
  </si>
  <si>
    <t>CUST050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</si>
  <si>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</si>
  <si>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</si>
  <si>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</si>
  <si>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</si>
  <si>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</si>
  <si>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</si>
  <si>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</si>
  <si>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</si>
  <si>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</si>
  <si>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</si>
  <si>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</si>
  <si>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</si>
  <si>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</si>
  <si>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</si>
  <si>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</si>
  <si>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</si>
  <si>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</si>
  <si>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CUST015</t>
  </si>
  <si>
    <t>ORD0085</t>
  </si>
  <si>
    <t>ORD0086</t>
  </si>
  <si>
    <t>ORD0087</t>
  </si>
  <si>
    <t>CUST043</t>
  </si>
  <si>
    <t>Lily Reed</t>
  </si>
  <si>
    <t>ORD0088</t>
  </si>
  <si>
    <t>ORD0089</t>
  </si>
  <si>
    <t>ORD0090</t>
  </si>
  <si>
    <t>ORD0091</t>
  </si>
  <si>
    <t>CUST031</t>
  </si>
  <si>
    <t>Mason Collins</t>
  </si>
  <si>
    <t>ORD0092</t>
  </si>
  <si>
    <t>ORD0093</t>
  </si>
  <si>
    <t>CUST036</t>
  </si>
  <si>
    <t>ORD0094</t>
  </si>
  <si>
    <t>ORD0095</t>
  </si>
  <si>
    <t>ORD0096</t>
  </si>
  <si>
    <t>ORD0097</t>
  </si>
  <si>
    <t>ORD0098</t>
  </si>
  <si>
    <t>ORD0099</t>
  </si>
  <si>
    <t>CUST034</t>
  </si>
  <si>
    <t>Lily Simmons</t>
  </si>
  <si>
    <t>ORD0100</t>
  </si>
  <si>
    <t>Sales Target</t>
  </si>
  <si>
    <t>Sales Achieved</t>
  </si>
  <si>
    <t>% Sales Target vs Sales Achive</t>
  </si>
  <si>
    <t>Fast Delivery</t>
  </si>
  <si>
    <t>Slow Delivery</t>
  </si>
  <si>
    <t>% fast Delivery</t>
  </si>
  <si>
    <t>total Fast delivery</t>
  </si>
  <si>
    <t>Total Slow delivery</t>
  </si>
  <si>
    <t>Cancelled orders</t>
  </si>
  <si>
    <t>Canceilation Rate</t>
  </si>
  <si>
    <t>%fast Delivery Total</t>
  </si>
  <si>
    <t xml:space="preserve">cities </t>
  </si>
  <si>
    <t>cancelled orders</t>
  </si>
  <si>
    <t>cancellation rate</t>
  </si>
  <si>
    <t>total cancelled</t>
  </si>
  <si>
    <t>Top 3 perfoming region</t>
  </si>
  <si>
    <t>Sales Target vs Sales Achieved</t>
  </si>
  <si>
    <t>Sum of Sales Target vs Sales Achieved</t>
  </si>
  <si>
    <t>CIty vs Sales</t>
  </si>
  <si>
    <t>Productswise  Sales</t>
  </si>
  <si>
    <t>Effective Sales</t>
  </si>
  <si>
    <t>Region Vs Category Sales</t>
  </si>
  <si>
    <t>Target Sales Vs Achieved Sales Regionwise</t>
  </si>
  <si>
    <t>Cancellation Rate vs Region</t>
  </si>
  <si>
    <t>Products Vs Quantity Sold</t>
  </si>
  <si>
    <t>Regionwise Fast Delivery%</t>
  </si>
  <si>
    <t>Sum of Total Amount</t>
  </si>
  <si>
    <t>Total Quantity</t>
  </si>
  <si>
    <t xml:space="preserve">Total Sale Amount </t>
  </si>
  <si>
    <t>Sum of Target Sales</t>
  </si>
  <si>
    <t xml:space="preserve">Sum of Sales Achieved </t>
  </si>
  <si>
    <t>Cancelled Rate %</t>
  </si>
  <si>
    <t>Sum of Fast Delivery percentage</t>
  </si>
  <si>
    <t>SUBTOTAL</t>
  </si>
  <si>
    <t>top 1</t>
  </si>
  <si>
    <t>Subtotal % fast delivery</t>
  </si>
  <si>
    <t>top 2</t>
  </si>
  <si>
    <t>top3</t>
  </si>
  <si>
    <t>Most performing region</t>
  </si>
  <si>
    <t>Count of Region</t>
  </si>
  <si>
    <t>confirm delivered orders sale</t>
  </si>
  <si>
    <t>highest quantity</t>
  </si>
  <si>
    <t>total revenue</t>
  </si>
  <si>
    <t>highest seller</t>
  </si>
  <si>
    <t>Amazon Sales Dashboard</t>
  </si>
  <si>
    <t>1.What is the most successful product category in terms of revenue?</t>
  </si>
  <si>
    <t xml:space="preserve">Top cities with maximum revenue for Smartphone </t>
  </si>
  <si>
    <r>
      <rPr>
        <sz val="14"/>
        <color theme="1"/>
        <rFont val="Calibri"/>
        <charset val="134"/>
        <scheme val="minor"/>
      </rPr>
      <t xml:space="preserve">in Categories, Electronics Items generate </t>
    </r>
    <r>
      <rPr>
        <b/>
        <sz val="14"/>
        <color theme="1"/>
        <rFont val="Calibri"/>
        <charset val="134"/>
        <scheme val="minor"/>
      </rPr>
      <t>$</t>
    </r>
    <r>
      <rPr>
        <sz val="14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>15209</t>
    </r>
    <r>
      <rPr>
        <sz val="14"/>
        <color theme="1"/>
        <rFont val="Calibri"/>
        <charset val="134"/>
        <scheme val="minor"/>
      </rPr>
      <t xml:space="preserve"> (</t>
    </r>
    <r>
      <rPr>
        <b/>
        <sz val="14"/>
        <color theme="1"/>
        <rFont val="Calibri"/>
        <charset val="134"/>
        <scheme val="minor"/>
      </rPr>
      <t>43.14 %</t>
    </r>
    <r>
      <rPr>
        <sz val="14"/>
        <color theme="1"/>
        <rFont val="Calibri"/>
        <charset val="134"/>
        <scheme val="minor"/>
      </rPr>
      <t xml:space="preserve">  of total revenue).     </t>
    </r>
  </si>
  <si>
    <r>
      <rPr>
        <sz val="14"/>
        <color theme="1"/>
        <rFont val="Calibri"/>
        <charset val="134"/>
        <scheme val="minor"/>
      </rPr>
      <t xml:space="preserve">In Overall product Category, Smartphone has highest revenue of </t>
    </r>
    <r>
      <rPr>
        <b/>
        <sz val="14"/>
        <color theme="1"/>
        <rFont val="Calibri"/>
        <charset val="134"/>
        <scheme val="minor"/>
      </rPr>
      <t>$ 9644</t>
    </r>
    <r>
      <rPr>
        <sz val="14"/>
        <color theme="1"/>
        <rFont val="Calibri"/>
        <charset val="134"/>
        <scheme val="minor"/>
      </rPr>
      <t>.</t>
    </r>
  </si>
  <si>
    <r>
      <rPr>
        <sz val="14"/>
        <color theme="1"/>
        <rFont val="Calibri"/>
        <charset val="134"/>
        <scheme val="minor"/>
      </rPr>
      <t xml:space="preserve">For second highest selling product is Cookware set pro with revenue of  </t>
    </r>
    <r>
      <rPr>
        <b/>
        <sz val="14"/>
        <color theme="1"/>
        <rFont val="Calibri"/>
        <charset val="134"/>
        <scheme val="minor"/>
      </rPr>
      <t>$ 5151</t>
    </r>
    <r>
      <rPr>
        <sz val="14"/>
        <color theme="1"/>
        <rFont val="Calibri"/>
        <charset val="134"/>
        <scheme val="minor"/>
      </rPr>
      <t>.</t>
    </r>
  </si>
  <si>
    <t>Miami city has the highest revenue for smartphone.</t>
  </si>
  <si>
    <t>Grand Total</t>
  </si>
  <si>
    <t>2. Which region has the highest order cancellation rate?</t>
  </si>
  <si>
    <r>
      <rPr>
        <b/>
        <sz val="14"/>
        <color theme="1"/>
        <rFont val="Calibri"/>
        <charset val="134"/>
        <scheme val="minor"/>
      </rPr>
      <t>#</t>
    </r>
    <r>
      <rPr>
        <sz val="14"/>
        <color theme="1"/>
        <rFont val="Calibri"/>
        <charset val="134"/>
        <scheme val="minor"/>
      </rPr>
      <t xml:space="preserve"> North region has highest cancellation rate, about </t>
    </r>
    <r>
      <rPr>
        <b/>
        <sz val="14"/>
        <color theme="1"/>
        <rFont val="Calibri"/>
        <charset val="134"/>
        <scheme val="minor"/>
      </rPr>
      <t>33.33%</t>
    </r>
    <r>
      <rPr>
        <sz val="14"/>
        <color theme="1"/>
        <rFont val="Calibri"/>
        <charset val="134"/>
        <scheme val="minor"/>
      </rPr>
      <t xml:space="preserve"> of all orders.</t>
    </r>
  </si>
  <si>
    <r>
      <rPr>
        <b/>
        <sz val="14"/>
        <color theme="1"/>
        <rFont val="Calibri"/>
        <charset val="134"/>
        <scheme val="minor"/>
      </rPr>
      <t>#</t>
    </r>
    <r>
      <rPr>
        <sz val="14"/>
        <color theme="1"/>
        <rFont val="Calibri"/>
        <charset val="134"/>
        <scheme val="minor"/>
      </rPr>
      <t xml:space="preserve">  In which, Austin city (</t>
    </r>
    <r>
      <rPr>
        <b/>
        <sz val="14"/>
        <color theme="1"/>
        <rFont val="Calibri"/>
        <charset val="134"/>
        <scheme val="minor"/>
      </rPr>
      <t>40%</t>
    </r>
    <r>
      <rPr>
        <sz val="14"/>
        <color theme="1"/>
        <rFont val="Calibri"/>
        <charset val="134"/>
        <scheme val="minor"/>
      </rPr>
      <t xml:space="preserve"> of total canceled orders) and Seattle city (</t>
    </r>
    <r>
      <rPr>
        <b/>
        <sz val="14"/>
        <color theme="1"/>
        <rFont val="Calibri"/>
        <charset val="134"/>
        <scheme val="minor"/>
      </rPr>
      <t>30%</t>
    </r>
    <r>
      <rPr>
        <sz val="14"/>
        <color theme="1"/>
        <rFont val="Calibri"/>
        <charset val="134"/>
        <scheme val="minor"/>
      </rPr>
      <t xml:space="preserve"> of total canceled orders) has highest cancellation rate.</t>
    </r>
  </si>
  <si>
    <r>
      <rPr>
        <b/>
        <sz val="14"/>
        <color theme="1"/>
        <rFont val="Calibri"/>
        <charset val="134"/>
        <scheme val="minor"/>
      </rPr>
      <t xml:space="preserve">#  </t>
    </r>
    <r>
      <rPr>
        <sz val="14"/>
        <color theme="1"/>
        <rFont val="Calibri"/>
        <charset val="134"/>
        <scheme val="minor"/>
      </rPr>
      <t>Books category orders has the lowest cancellation rate(</t>
    </r>
    <r>
      <rPr>
        <b/>
        <sz val="14"/>
        <color theme="1"/>
        <rFont val="Calibri"/>
        <charset val="134"/>
        <scheme val="minor"/>
      </rPr>
      <t>10%</t>
    </r>
    <r>
      <rPr>
        <sz val="14"/>
        <color theme="1"/>
        <rFont val="Calibri"/>
        <charset val="134"/>
        <scheme val="minor"/>
      </rPr>
      <t>) for all orders while electronics Category has second lowest (</t>
    </r>
    <r>
      <rPr>
        <b/>
        <sz val="14"/>
        <color theme="1"/>
        <rFont val="Calibri"/>
        <charset val="134"/>
        <scheme val="minor"/>
      </rPr>
      <t>13.33%</t>
    </r>
    <r>
      <rPr>
        <sz val="14"/>
        <color theme="1"/>
        <rFont val="Calibri"/>
        <charset val="134"/>
        <scheme val="minor"/>
      </rPr>
      <t>) cancellation rate.</t>
    </r>
  </si>
  <si>
    <t>3.How many orders were delivered within 2 days?</t>
  </si>
  <si>
    <t xml:space="preserve">Total numbers of fast delivery orders = 11, with  North region has highest (20% )fast delivery rate. </t>
  </si>
  <si>
    <t>4.What recommendations would you give to improve delivery performance?</t>
  </si>
  <si>
    <r>
      <rPr>
        <b/>
        <sz val="14"/>
        <color theme="1"/>
        <rFont val="Calibri"/>
        <charset val="134"/>
        <scheme val="minor"/>
      </rPr>
      <t xml:space="preserve">1  </t>
    </r>
    <r>
      <rPr>
        <sz val="14"/>
        <color theme="1"/>
        <rFont val="Calibri"/>
        <charset val="134"/>
        <scheme val="minor"/>
      </rPr>
      <t>and fast delivery orders within 2 days</t>
    </r>
  </si>
  <si>
    <t xml:space="preserve">For no. of orders delivered within 3 days </t>
  </si>
  <si>
    <t>orders delivered within (3 to 5)days</t>
  </si>
  <si>
    <r>
      <rPr>
        <sz val="14"/>
        <color theme="1"/>
        <rFont val="Calibri"/>
        <charset val="134"/>
        <scheme val="minor"/>
      </rPr>
      <t>Most of the orders(</t>
    </r>
    <r>
      <rPr>
        <b/>
        <sz val="14"/>
        <color theme="1"/>
        <rFont val="Calibri"/>
        <charset val="134"/>
        <scheme val="minor"/>
      </rPr>
      <t>6 out of 8</t>
    </r>
    <r>
      <rPr>
        <sz val="14"/>
        <color theme="1"/>
        <rFont val="Calibri"/>
        <charset val="134"/>
        <scheme val="minor"/>
      </rPr>
      <t xml:space="preserve">) with </t>
    </r>
    <r>
      <rPr>
        <b/>
        <sz val="14"/>
        <color theme="1"/>
        <rFont val="Calibri"/>
        <charset val="134"/>
        <scheme val="minor"/>
      </rPr>
      <t>3 days</t>
    </r>
    <r>
      <rPr>
        <sz val="14"/>
        <color theme="1"/>
        <rFont val="Calibri"/>
        <charset val="134"/>
        <scheme val="minor"/>
      </rPr>
      <t xml:space="preserve"> delivery are from </t>
    </r>
    <r>
      <rPr>
        <b/>
        <sz val="14"/>
        <color theme="1"/>
        <rFont val="Calibri"/>
        <charset val="134"/>
        <scheme val="minor"/>
      </rPr>
      <t>Austin city of Texas State</t>
    </r>
  </si>
  <si>
    <t>so we can improve order delivery to austin City for overall delivery Performance.</t>
  </si>
  <si>
    <r>
      <rPr>
        <sz val="14"/>
        <color theme="1"/>
        <rFont val="Calibri"/>
        <charset val="134"/>
        <scheme val="minor"/>
      </rPr>
      <t>monthwise analysing the data(</t>
    </r>
    <r>
      <rPr>
        <b/>
        <sz val="14"/>
        <color theme="1"/>
        <rFont val="Calibri"/>
        <charset val="134"/>
        <scheme val="minor"/>
      </rPr>
      <t>for order delivered within 3 to 5 days</t>
    </r>
    <r>
      <rPr>
        <sz val="14"/>
        <color theme="1"/>
        <rFont val="Calibri"/>
        <charset val="134"/>
        <scheme val="minor"/>
      </rPr>
      <t xml:space="preserve">) we have found that most delayed delivery are happening for orders taken in october and december months.  </t>
    </r>
  </si>
  <si>
    <r>
      <rPr>
        <sz val="14"/>
        <color theme="1"/>
        <rFont val="Calibri"/>
        <charset val="134"/>
        <scheme val="minor"/>
      </rPr>
      <t xml:space="preserve">As october and december months having more public holidays we can preplan shorter routes of delivery for these months </t>
    </r>
    <r>
      <rPr>
        <sz val="12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 xml:space="preserve">  </t>
    </r>
  </si>
  <si>
    <r>
      <rPr>
        <sz val="14"/>
        <color theme="1"/>
        <rFont val="Calibri"/>
        <charset val="134"/>
        <scheme val="minor"/>
      </rPr>
      <t>Also delivery partner with most delay delivery (</t>
    </r>
    <r>
      <rPr>
        <b/>
        <sz val="14"/>
        <color theme="1"/>
        <rFont val="Calibri"/>
        <charset val="134"/>
        <scheme val="minor"/>
      </rPr>
      <t>for total no. of orders delivered within 3 to 5 days</t>
    </r>
    <r>
      <rPr>
        <sz val="14"/>
        <color theme="1"/>
        <rFont val="Calibri"/>
        <charset val="134"/>
        <scheme val="minor"/>
      </rPr>
      <t xml:space="preserve">) is </t>
    </r>
    <r>
      <rPr>
        <b/>
        <sz val="14"/>
        <color theme="1"/>
        <rFont val="Calibri"/>
        <charset val="134"/>
        <scheme val="minor"/>
      </rPr>
      <t>amazon logistics</t>
    </r>
    <r>
      <rPr>
        <sz val="14"/>
        <color theme="1"/>
        <rFont val="Calibri"/>
        <charset val="134"/>
        <scheme val="minor"/>
      </rPr>
      <t>, we can transfer some orders to other delivery partners to lessen the workload and effective deliveries of orders too.</t>
    </r>
  </si>
  <si>
    <t>Cancellation Rate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</si>
</sst>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0.00_ "/>
    <numFmt numFmtId="168" formatCode="m/d/yyyy;@"/>
    <numFmt numFmtId="169" formatCode="0_);[Red]\(0\)"/>
  </numFmts>
  <fonts count="1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24"/>
      <color theme="0"/>
      <name val="Arial Black"/>
      <charset val="134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92D050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3">
    <xf numFmtId="0" fontId="0" fillId="0" borderId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9" fontId="0" fillId="0" borderId="0" xfId="2">
      <alignment vertical="center"/>
    </xf>
    <xf numFmtId="44" fontId="0" fillId="0" borderId="0" xfId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6" fontId="0" fillId="0" borderId="0" xfId="0" applyNumberFormat="1">
      <alignment vertical="center"/>
    </xf>
    <xf numFmtId="44" fontId="6" fillId="0" borderId="0" xfId="1" applyFont="1">
      <alignment vertical="center"/>
    </xf>
    <xf numFmtId="10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9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Fill="1" applyBorder="1" applyAlignment="1">
      <alignment horizontal="left" vertical="center"/>
    </xf>
    <xf numFmtId="3" fontId="10" fillId="0" borderId="1" xfId="0" applyNumberFormat="1" applyFont="1" applyFill="1" applyBorder="1" applyAlignment="1"/>
    <xf numFmtId="0" fontId="0" fillId="0" borderId="1" xfId="0" applyFont="1" applyFill="1" applyBorder="1" applyAlignment="1">
      <alignment vertical="center"/>
    </xf>
    <xf numFmtId="9" fontId="0" fillId="0" borderId="1" xfId="2" applyBorder="1">
      <alignment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0" fontId="0" fillId="0" borderId="0" xfId="0" applyBorder="1">
      <alignment vertical="center"/>
    </xf>
    <xf numFmtId="0" fontId="10" fillId="0" borderId="0" xfId="0" applyFont="1" applyFill="1" applyBorder="1" applyAlignment="1">
      <alignment horizontal="left" vertical="center"/>
    </xf>
    <xf numFmtId="9" fontId="0" fillId="0" borderId="0" xfId="2" applyBorder="1">
      <alignment vertical="center"/>
    </xf>
    <xf numFmtId="167" fontId="0" fillId="0" borderId="0" xfId="0" applyNumberFormat="1">
      <alignment vertical="center"/>
    </xf>
    <xf numFmtId="168" fontId="0" fillId="0" borderId="0" xfId="0" applyNumberFormat="1">
      <alignment vertical="center"/>
    </xf>
    <xf numFmtId="168" fontId="0" fillId="0" borderId="0" xfId="0" applyNumberFormat="1" applyAlignment="1"/>
    <xf numFmtId="6" fontId="0" fillId="0" borderId="0" xfId="0" applyNumberFormat="1">
      <alignment vertical="center"/>
    </xf>
    <xf numFmtId="0" fontId="11" fillId="4" borderId="2" xfId="0" applyNumberFormat="1" applyFont="1" applyFill="1" applyBorder="1" applyAlignment="1" applyProtection="1">
      <alignment vertical="center"/>
    </xf>
    <xf numFmtId="168" fontId="11" fillId="4" borderId="2" xfId="0" applyNumberFormat="1" applyFont="1" applyFill="1" applyBorder="1" applyAlignment="1" applyProtection="1">
      <alignment vertical="center"/>
    </xf>
    <xf numFmtId="168" fontId="11" fillId="4" borderId="2" xfId="0" applyNumberFormat="1" applyFont="1" applyFill="1" applyBorder="1" applyAlignment="1" applyProtection="1"/>
    <xf numFmtId="0" fontId="0" fillId="5" borderId="1" xfId="0" applyNumberFormat="1" applyFont="1" applyFill="1" applyBorder="1" applyAlignment="1" applyProtection="1">
      <alignment vertical="center"/>
    </xf>
    <xf numFmtId="168" fontId="0" fillId="5" borderId="1" xfId="0" applyNumberFormat="1" applyFont="1" applyFill="1" applyBorder="1" applyAlignment="1" applyProtection="1">
      <alignment vertical="center"/>
    </xf>
    <xf numFmtId="168" fontId="0" fillId="5" borderId="1" xfId="0" applyNumberFormat="1" applyFont="1" applyFill="1" applyBorder="1" applyAlignment="1" applyProtection="1"/>
    <xf numFmtId="0" fontId="0" fillId="6" borderId="1" xfId="0" applyNumberFormat="1" applyFont="1" applyFill="1" applyBorder="1" applyAlignment="1" applyProtection="1">
      <alignment vertical="center"/>
    </xf>
    <xf numFmtId="168" fontId="0" fillId="6" borderId="1" xfId="0" applyNumberFormat="1" applyFont="1" applyFill="1" applyBorder="1" applyAlignment="1" applyProtection="1">
      <alignment vertical="center"/>
    </xf>
    <xf numFmtId="168" fontId="0" fillId="6" borderId="1" xfId="0" applyNumberFormat="1" applyFont="1" applyFill="1" applyBorder="1" applyAlignment="1" applyProtection="1"/>
    <xf numFmtId="6" fontId="11" fillId="4" borderId="2" xfId="0" applyNumberFormat="1" applyFont="1" applyFill="1" applyBorder="1" applyAlignment="1" applyProtection="1">
      <alignment vertical="center"/>
    </xf>
    <xf numFmtId="0" fontId="0" fillId="7" borderId="1" xfId="0" applyNumberFormat="1" applyFont="1" applyFill="1" applyBorder="1" applyAlignment="1" applyProtection="1">
      <alignment vertical="center"/>
    </xf>
    <xf numFmtId="6" fontId="0" fillId="5" borderId="1" xfId="0" applyNumberFormat="1" applyFont="1" applyFill="1" applyBorder="1" applyAlignment="1" applyProtection="1">
      <alignment vertical="center"/>
    </xf>
    <xf numFmtId="0" fontId="0" fillId="8" borderId="1" xfId="0" applyNumberFormat="1" applyFont="1" applyFill="1" applyBorder="1" applyAlignment="1" applyProtection="1">
      <alignment vertical="center"/>
    </xf>
    <xf numFmtId="6" fontId="0" fillId="6" borderId="1" xfId="0" applyNumberFormat="1" applyFont="1" applyFill="1" applyBorder="1" applyAlignment="1" applyProtection="1">
      <alignment vertical="center"/>
    </xf>
    <xf numFmtId="169" fontId="0" fillId="5" borderId="1" xfId="0" applyNumberFormat="1" applyFont="1" applyFill="1" applyBorder="1" applyAlignment="1" applyProtection="1">
      <alignment vertical="center"/>
    </xf>
    <xf numFmtId="169" fontId="0" fillId="6" borderId="1" xfId="0" applyNumberFormat="1" applyFont="1" applyFill="1" applyBorder="1" applyAlignment="1" applyProtection="1">
      <alignment vertical="center"/>
    </xf>
    <xf numFmtId="0" fontId="11" fillId="4" borderId="3" xfId="0" applyNumberFormat="1" applyFont="1" applyFill="1" applyBorder="1" applyAlignment="1" applyProtection="1">
      <alignment vertical="center"/>
    </xf>
    <xf numFmtId="9" fontId="0" fillId="5" borderId="1" xfId="2" applyNumberFormat="1" applyFont="1" applyFill="1" applyBorder="1" applyAlignment="1" applyProtection="1">
      <alignment vertical="center"/>
    </xf>
    <xf numFmtId="9" fontId="0" fillId="6" borderId="1" xfId="2" applyNumberFormat="1" applyFont="1" applyFill="1" applyBorder="1" applyAlignment="1" applyProtection="1">
      <alignment vertical="center"/>
    </xf>
    <xf numFmtId="0" fontId="4" fillId="2" borderId="0" xfId="0" applyFont="1" applyFill="1" applyAlignment="1">
      <alignment horizontal="center" vertical="top"/>
    </xf>
    <xf numFmtId="0" fontId="14" fillId="0" borderId="0" xfId="0" applyFont="1">
      <alignment vertical="center"/>
    </xf>
    <xf numFmtId="0" fontId="14" fillId="0" borderId="1" xfId="0" applyFont="1" applyBorder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45">
    <dxf>
      <font>
        <color theme="8" tint="-0.249977111117893"/>
      </font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theme="3"/>
      </font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sz val="14"/>
      </font>
    </dxf>
    <dxf>
      <numFmt numFmtId="166" formatCode="_(&quot;$&quot;* #,##0_);_(&quot;$&quot;* \(#,##0\);_(&quot;$&quot;* &quot;-&quot;??_);_(@_)"/>
    </dxf>
    <dxf>
      <numFmt numFmtId="170" formatCode="_(&quot;$&quot;* #,##0.0_);_(&quot;$&quot;* \(#,##0.0\);_(&quot;$&quot;* &quot;-&quot;??_);_(@_)"/>
    </dxf>
    <dxf>
      <numFmt numFmtId="167" formatCode="0.00_ 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3" formatCode="#,##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  <i val="0"/>
        <u val="none"/>
        <sz val="11"/>
        <color rgb="FFEFEFEF"/>
        <name val="Arial Black"/>
        <scheme val="none"/>
      </font>
      <fill>
        <patternFill patternType="solid">
          <bgColor theme="4" tint="-0.249977111117893"/>
        </patternFill>
      </fill>
    </dxf>
    <dxf>
      <font>
        <b/>
        <i val="0"/>
        <u val="none"/>
        <sz val="9"/>
        <color theme="0"/>
        <name val="Arial Black"/>
        <scheme val="none"/>
      </font>
      <fill>
        <patternFill patternType="solid">
          <bgColor theme="4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Slicer Style 1" pivot="0" table="0" count="8">
      <tableStyleElement type="wholeTable" dxfId="37"/>
      <tableStyleElement type="headerRow" dxfId="36"/>
    </tableStyle>
    <tableStyle name="PivotStylePreset2_Accent1" table="0" count="10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FFEFEFEF"/>
      <color rgb="FFF9680D"/>
    </mruColors>
  </colors>
  <extLst>
    <ext xmlns:x14="http://schemas.microsoft.com/office/spreadsheetml/2009/9/main" uri="{46F421CA-312F-682f-3DD2-61675219B42D}">
      <x14:dxfs count="6">
        <dxf>
          <fill>
            <patternFill patternType="solid">
              <bgColor rgb="FF92D050"/>
            </patternFill>
          </fill>
        </dxf>
        <dxf>
          <fill>
            <patternFill patternType="solid">
              <bgColor theme="4" tint="-0.249977111117893"/>
            </patternFill>
          </fill>
        </dxf>
        <dxf>
          <fill>
            <patternFill patternType="solid">
              <bgColor theme="4" tint="-0.249977111117893"/>
            </patternFill>
          </fill>
        </dxf>
        <dxf>
          <fill>
            <patternFill patternType="solid">
              <bgColor rgb="FFFF0000"/>
            </patternFill>
          </fill>
        </dxf>
        <dxf>
          <fill>
            <patternFill patternType="solid">
              <bgColor theme="4" tint="-0.249977111117893"/>
            </patternFill>
          </fill>
        </dxf>
        <dxf>
          <font>
            <b val="0"/>
            <i val="0"/>
            <u val="none"/>
            <sz val="9"/>
            <color theme="0"/>
            <name val="Arial Black"/>
            <scheme val="none"/>
          </font>
          <fill>
            <patternFill patternType="solid">
              <bgColor theme="4" tint="-0.249977111117893"/>
            </patternFill>
          </fill>
        </dxf>
      </x14:dxfs>
    </ext>
    <ext xmlns:x14="http://schemas.microsoft.com/office/spreadsheetml/2009/9/main" uri="{EB79DEF2-80B8-43e5-95BD-54CBDDF9020C}">
      <x14:slicerStyles defaultSlicerStyle="Slicer Style 1">
        <x14:slicerStyle name="Slicer Style 1">
          <x14:slicerStyleElements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 Mini Project 3.xlsx]Pivot Tables!Product  Sales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6642004993988702E-2"/>
          <c:y val="0.106222816995651"/>
          <c:w val="0.88822713400536402"/>
          <c:h val="0.65379725660756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Tables'!$E$4:$E$25</c:f>
              <c:strCache>
                <c:ptCount val="22"/>
                <c:pt idx="0">
                  <c:v>Smartphone</c:v>
                </c:pt>
                <c:pt idx="1">
                  <c:v>Cookware Set Pro</c:v>
                </c:pt>
                <c:pt idx="2">
                  <c:v>Cookware Set</c:v>
                </c:pt>
                <c:pt idx="3">
                  <c:v>Smartwatch</c:v>
                </c:pt>
                <c:pt idx="4">
                  <c:v>Vacuum Cleaner</c:v>
                </c:pt>
                <c:pt idx="5">
                  <c:v>Doll House</c:v>
                </c:pt>
                <c:pt idx="6">
                  <c:v>Gaming Mouse</c:v>
                </c:pt>
                <c:pt idx="7">
                  <c:v>Textbook</c:v>
                </c:pt>
                <c:pt idx="8">
                  <c:v>Shoes</c:v>
                </c:pt>
                <c:pt idx="9">
                  <c:v>Headphones</c:v>
                </c:pt>
                <c:pt idx="10">
                  <c:v>Leg Set</c:v>
                </c:pt>
                <c:pt idx="11">
                  <c:v>Formal Shirt</c:v>
                </c:pt>
                <c:pt idx="12">
                  <c:v>Wall Clock</c:v>
                </c:pt>
                <c:pt idx="13">
                  <c:v>Bluetooth Speaker</c:v>
                </c:pt>
                <c:pt idx="14">
                  <c:v>Action Figure</c:v>
                </c:pt>
                <c:pt idx="15">
                  <c:v>Jeans</c:v>
                </c:pt>
                <c:pt idx="16">
                  <c:v>T-Shirt</c:v>
                </c:pt>
                <c:pt idx="17">
                  <c:v>Backpack</c:v>
                </c:pt>
                <c:pt idx="18">
                  <c:v>Lamp</c:v>
                </c:pt>
                <c:pt idx="19">
                  <c:v>Novel</c:v>
                </c:pt>
                <c:pt idx="20">
                  <c:v>Puzzle</c:v>
                </c:pt>
                <c:pt idx="21">
                  <c:v>Magazine</c:v>
                </c:pt>
              </c:strCache>
            </c:strRef>
          </c:cat>
          <c:val>
            <c:numRef>
              <c:f>'Pivot Tables'!$F$4:$F$25</c:f>
              <c:numCache>
                <c:formatCode>General</c:formatCode>
                <c:ptCount val="22"/>
                <c:pt idx="0">
                  <c:v>12</c:v>
                </c:pt>
                <c:pt idx="1">
                  <c:v>24</c:v>
                </c:pt>
                <c:pt idx="2">
                  <c:v>18</c:v>
                </c:pt>
                <c:pt idx="3">
                  <c:v>9</c:v>
                </c:pt>
                <c:pt idx="4">
                  <c:v>11</c:v>
                </c:pt>
                <c:pt idx="5">
                  <c:v>16</c:v>
                </c:pt>
                <c:pt idx="6">
                  <c:v>19</c:v>
                </c:pt>
                <c:pt idx="7">
                  <c:v>19</c:v>
                </c:pt>
                <c:pt idx="8">
                  <c:v>13</c:v>
                </c:pt>
                <c:pt idx="9">
                  <c:v>7</c:v>
                </c:pt>
                <c:pt idx="10">
                  <c:v>18</c:v>
                </c:pt>
                <c:pt idx="11">
                  <c:v>23</c:v>
                </c:pt>
                <c:pt idx="12">
                  <c:v>23</c:v>
                </c:pt>
                <c:pt idx="13">
                  <c:v>7</c:v>
                </c:pt>
                <c:pt idx="14">
                  <c:v>16</c:v>
                </c:pt>
                <c:pt idx="15">
                  <c:v>10</c:v>
                </c:pt>
                <c:pt idx="16">
                  <c:v>20</c:v>
                </c:pt>
                <c:pt idx="17">
                  <c:v>8</c:v>
                </c:pt>
                <c:pt idx="18">
                  <c:v>7</c:v>
                </c:pt>
                <c:pt idx="19">
                  <c:v>11</c:v>
                </c:pt>
                <c:pt idx="20">
                  <c:v>6</c:v>
                </c:pt>
                <c:pt idx="21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10208"/>
        <c:axId val="157810768"/>
      </c:barChart>
      <c:lineChart>
        <c:grouping val="standard"/>
        <c:varyColors val="0"/>
        <c:ser>
          <c:idx val="1"/>
          <c:order val="1"/>
          <c:tx>
            <c:strRef>
              <c:f>'Pivot Tables'!$G$3</c:f>
              <c:strCache>
                <c:ptCount val="1"/>
                <c:pt idx="0">
                  <c:v>Total Sale Amount 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Tables'!$E$4:$E$25</c:f>
              <c:strCache>
                <c:ptCount val="22"/>
                <c:pt idx="0">
                  <c:v>Smartphone</c:v>
                </c:pt>
                <c:pt idx="1">
                  <c:v>Cookware Set Pro</c:v>
                </c:pt>
                <c:pt idx="2">
                  <c:v>Cookware Set</c:v>
                </c:pt>
                <c:pt idx="3">
                  <c:v>Smartwatch</c:v>
                </c:pt>
                <c:pt idx="4">
                  <c:v>Vacuum Cleaner</c:v>
                </c:pt>
                <c:pt idx="5">
                  <c:v>Doll House</c:v>
                </c:pt>
                <c:pt idx="6">
                  <c:v>Gaming Mouse</c:v>
                </c:pt>
                <c:pt idx="7">
                  <c:v>Textbook</c:v>
                </c:pt>
                <c:pt idx="8">
                  <c:v>Shoes</c:v>
                </c:pt>
                <c:pt idx="9">
                  <c:v>Headphones</c:v>
                </c:pt>
                <c:pt idx="10">
                  <c:v>Leg Set</c:v>
                </c:pt>
                <c:pt idx="11">
                  <c:v>Formal Shirt</c:v>
                </c:pt>
                <c:pt idx="12">
                  <c:v>Wall Clock</c:v>
                </c:pt>
                <c:pt idx="13">
                  <c:v>Bluetooth Speaker</c:v>
                </c:pt>
                <c:pt idx="14">
                  <c:v>Action Figure</c:v>
                </c:pt>
                <c:pt idx="15">
                  <c:v>Jeans</c:v>
                </c:pt>
                <c:pt idx="16">
                  <c:v>T-Shirt</c:v>
                </c:pt>
                <c:pt idx="17">
                  <c:v>Backpack</c:v>
                </c:pt>
                <c:pt idx="18">
                  <c:v>Lamp</c:v>
                </c:pt>
                <c:pt idx="19">
                  <c:v>Novel</c:v>
                </c:pt>
                <c:pt idx="20">
                  <c:v>Puzzle</c:v>
                </c:pt>
                <c:pt idx="21">
                  <c:v>Magazine</c:v>
                </c:pt>
              </c:strCache>
            </c:strRef>
          </c:cat>
          <c:val>
            <c:numRef>
              <c:f>'Pivot Tables'!$G$4:$G$25</c:f>
              <c:numCache>
                <c:formatCode>General</c:formatCode>
                <c:ptCount val="22"/>
                <c:pt idx="0">
                  <c:v>9644</c:v>
                </c:pt>
                <c:pt idx="1">
                  <c:v>5151</c:v>
                </c:pt>
                <c:pt idx="2">
                  <c:v>2496</c:v>
                </c:pt>
                <c:pt idx="3">
                  <c:v>2230</c:v>
                </c:pt>
                <c:pt idx="4">
                  <c:v>2144</c:v>
                </c:pt>
                <c:pt idx="5">
                  <c:v>1530</c:v>
                </c:pt>
                <c:pt idx="6">
                  <c:v>1392</c:v>
                </c:pt>
                <c:pt idx="7">
                  <c:v>1318</c:v>
                </c:pt>
                <c:pt idx="8">
                  <c:v>1239</c:v>
                </c:pt>
                <c:pt idx="9">
                  <c:v>1212</c:v>
                </c:pt>
                <c:pt idx="10">
                  <c:v>1124</c:v>
                </c:pt>
                <c:pt idx="11">
                  <c:v>995</c:v>
                </c:pt>
                <c:pt idx="12">
                  <c:v>840</c:v>
                </c:pt>
                <c:pt idx="13">
                  <c:v>731</c:v>
                </c:pt>
                <c:pt idx="14">
                  <c:v>669</c:v>
                </c:pt>
                <c:pt idx="15">
                  <c:v>581</c:v>
                </c:pt>
                <c:pt idx="16">
                  <c:v>539</c:v>
                </c:pt>
                <c:pt idx="17">
                  <c:v>518</c:v>
                </c:pt>
                <c:pt idx="18">
                  <c:v>320</c:v>
                </c:pt>
                <c:pt idx="19">
                  <c:v>232</c:v>
                </c:pt>
                <c:pt idx="20">
                  <c:v>188</c:v>
                </c:pt>
                <c:pt idx="21">
                  <c:v>165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11328"/>
        <c:axId val="158651776"/>
      </c:lineChart>
      <c:catAx>
        <c:axId val="157810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endParaRPr lang="en-US"/>
          </a:p>
        </c:txPr>
        <c:crossAx val="157810768"/>
        <c:crosses val="autoZero"/>
        <c:auto val="1"/>
        <c:lblAlgn val="ctr"/>
        <c:lblOffset val="100"/>
        <c:noMultiLvlLbl val="0"/>
      </c:catAx>
      <c:valAx>
        <c:axId val="157810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endParaRPr lang="en-US"/>
          </a:p>
        </c:txPr>
        <c:crossAx val="157810208"/>
        <c:crosses val="autoZero"/>
        <c:crossBetween val="between"/>
      </c:valAx>
      <c:catAx>
        <c:axId val="157811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651776"/>
        <c:crosses val="autoZero"/>
        <c:auto val="1"/>
        <c:lblAlgn val="ctr"/>
        <c:lblOffset val="100"/>
        <c:noMultiLvlLbl val="0"/>
      </c:catAx>
      <c:valAx>
        <c:axId val="15865177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endParaRPr lang="en-US"/>
          </a:p>
        </c:txPr>
        <c:crossAx val="157811328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626a50-1be6-4481-b566-0456faf20ba8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 Mini Project 3.xlsx]Pivot Tables!CIty vs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bg1"/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US" sz="1200">
                <a:solidFill>
                  <a:schemeClr val="bg1"/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Citywise Sales </a:t>
            </a:r>
          </a:p>
        </c:rich>
      </c:tx>
      <c:layout>
        <c:manualLayout>
          <c:xMode val="edge"/>
          <c:yMode val="edge"/>
          <c:x val="0.25594721305782298"/>
          <c:y val="2.46221355436372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200" b="1" i="0" u="none" strike="noStrike" kern="1200" baseline="0">
              <a:solidFill>
                <a:schemeClr val="bg1"/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bg1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6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7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8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9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92238366746368E-2"/>
          <c:y val="0.198350694444444"/>
          <c:w val="0.62939120838697804"/>
          <c:h val="0.74262152777777801"/>
        </c:manualLayout>
      </c:layout>
      <c:pieChart>
        <c:varyColors val="1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Tables'!$A$4:$B$12</c:f>
              <c:strCache>
                <c:ptCount val="9"/>
                <c:pt idx="0">
                  <c:v>Austin</c:v>
                </c:pt>
                <c:pt idx="1">
                  <c:v>Chicago</c:v>
                </c:pt>
                <c:pt idx="2">
                  <c:v>Dallas</c:v>
                </c:pt>
                <c:pt idx="3">
                  <c:v>Miami</c:v>
                </c:pt>
                <c:pt idx="4">
                  <c:v>New York</c:v>
                </c:pt>
                <c:pt idx="5">
                  <c:v>Phoenix</c:v>
                </c:pt>
                <c:pt idx="6">
                  <c:v>San Francisco</c:v>
                </c:pt>
                <c:pt idx="7">
                  <c:v>Seattle</c:v>
                </c:pt>
                <c:pt idx="8">
                  <c:v>#N/A</c:v>
                </c:pt>
              </c:strCache>
            </c:strRef>
          </c:cat>
          <c:val>
            <c:numRef>
              <c:f>'Pivot Tables'!$C$4:$C$12</c:f>
              <c:numCache>
                <c:formatCode>General</c:formatCode>
                <c:ptCount val="9"/>
                <c:pt idx="0">
                  <c:v>7866</c:v>
                </c:pt>
                <c:pt idx="1">
                  <c:v>3119</c:v>
                </c:pt>
                <c:pt idx="2">
                  <c:v>367</c:v>
                </c:pt>
                <c:pt idx="3">
                  <c:v>8107</c:v>
                </c:pt>
                <c:pt idx="4">
                  <c:v>1040</c:v>
                </c:pt>
                <c:pt idx="5">
                  <c:v>2509</c:v>
                </c:pt>
                <c:pt idx="6">
                  <c:v>6396</c:v>
                </c:pt>
                <c:pt idx="7">
                  <c:v>5730</c:v>
                </c:pt>
                <c:pt idx="8">
                  <c:v>124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3801547735508799"/>
          <c:y val="8.45614882821938E-2"/>
          <c:w val="0.23265761577087599"/>
          <c:h val="0.883063541918338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bg1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94931c-7617-449b-bd10-6bcbab5e9361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 Mini Project 3.xlsx]Pivot Tables!Delivery status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  <a:latin typeface="Arial Black" panose="020B0A04020102020204" charset="0"/>
                <a:cs typeface="Arial Black" panose="020B0A04020102020204" charset="0"/>
              </a:rPr>
              <a:t>Delivery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8689754086701"/>
          <c:y val="0.15745250748108899"/>
          <c:w val="0.56081754735792599"/>
          <c:h val="0.81937363437727595"/>
        </c:manualLayout>
      </c:layout>
      <c:doughnutChart>
        <c:varyColors val="1"/>
        <c:ser>
          <c:idx val="0"/>
          <c:order val="0"/>
          <c:tx>
            <c:strRef>
              <c:f>'Pivot Tables'!$N$14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Tables'!$M$15:$M$17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</c:strCache>
            </c:strRef>
          </c:cat>
          <c:val>
            <c:numRef>
              <c:f>'Pivot Tables'!$N$15:$N$17</c:f>
              <c:numCache>
                <c:formatCode>0.00%</c:formatCode>
                <c:ptCount val="3"/>
                <c:pt idx="0">
                  <c:v>0.3</c:v>
                </c:pt>
                <c:pt idx="1">
                  <c:v>0.34</c:v>
                </c:pt>
                <c:pt idx="2">
                  <c:v>0.36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fe9a0a-49fa-4453-b43c-f5bccdb4db65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 Mini Project 3.xlsx]Pivot Tables!Products vs Quantity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320"/>
              <a:t>Products Total Sales by Category </a:t>
            </a:r>
          </a:p>
        </c:rich>
      </c:tx>
      <c:layout>
        <c:manualLayout>
          <c:xMode val="edge"/>
          <c:yMode val="edge"/>
          <c:x val="0.160850694444444"/>
          <c:y val="6.5312046444121899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32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9920138888888901"/>
          <c:y val="7.3439767779390402E-2"/>
          <c:w val="0.54697916666666702"/>
          <c:h val="0.854223512336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Tables'!$X$4:$Y$30</c:f>
              <c:multiLvlStrCache>
                <c:ptCount val="22"/>
                <c:lvl>
                  <c:pt idx="0">
                    <c:v>Lamp</c:v>
                  </c:pt>
                  <c:pt idx="1">
                    <c:v>Vacuum Cleaner</c:v>
                  </c:pt>
                  <c:pt idx="2">
                    <c:v>Wall Clock</c:v>
                  </c:pt>
                  <c:pt idx="3">
                    <c:v>Cookware Set</c:v>
                  </c:pt>
                  <c:pt idx="4">
                    <c:v>Cookware Set Pro</c:v>
                  </c:pt>
                  <c:pt idx="5">
                    <c:v>Doll House</c:v>
                  </c:pt>
                  <c:pt idx="6">
                    <c:v>Action Figure</c:v>
                  </c:pt>
                  <c:pt idx="7">
                    <c:v>Puzzle</c:v>
                  </c:pt>
                  <c:pt idx="8">
                    <c:v>Leg Set</c:v>
                  </c:pt>
                  <c:pt idx="9">
                    <c:v>Jeans</c:v>
                  </c:pt>
                  <c:pt idx="10">
                    <c:v>Formal Shirt</c:v>
                  </c:pt>
                  <c:pt idx="11">
                    <c:v>Shoes</c:v>
                  </c:pt>
                  <c:pt idx="12">
                    <c:v>T-Shirt</c:v>
                  </c:pt>
                  <c:pt idx="13">
                    <c:v>Backpack</c:v>
                  </c:pt>
                  <c:pt idx="14">
                    <c:v>Bluetooth Speaker</c:v>
                  </c:pt>
                  <c:pt idx="15">
                    <c:v>Smartwatch</c:v>
                  </c:pt>
                  <c:pt idx="16">
                    <c:v>Gaming Mouse</c:v>
                  </c:pt>
                  <c:pt idx="17">
                    <c:v>Smartphone</c:v>
                  </c:pt>
                  <c:pt idx="18">
                    <c:v>Headphones</c:v>
                  </c:pt>
                  <c:pt idx="19">
                    <c:v>Novel</c:v>
                  </c:pt>
                  <c:pt idx="20">
                    <c:v>Textbook</c:v>
                  </c:pt>
                  <c:pt idx="21">
                    <c:v>Magazine</c:v>
                  </c:pt>
                </c:lvl>
                <c:lvl>
                  <c:pt idx="0">
                    <c:v>Home</c:v>
                  </c:pt>
                  <c:pt idx="5">
                    <c:v>Toys</c:v>
                  </c:pt>
                  <c:pt idx="9">
                    <c:v>Fashion</c:v>
                  </c:pt>
                  <c:pt idx="14">
                    <c:v>Electronics</c:v>
                  </c:pt>
                  <c:pt idx="19">
                    <c:v>Books</c:v>
                  </c:pt>
                </c:lvl>
              </c:multiLvlStrCache>
            </c:multiLvlStrRef>
          </c:cat>
          <c:val>
            <c:numRef>
              <c:f>'Pivot Tables'!$Z$4:$Z$30</c:f>
              <c:numCache>
                <c:formatCode>General</c:formatCode>
                <c:ptCount val="22"/>
                <c:pt idx="0">
                  <c:v>320</c:v>
                </c:pt>
                <c:pt idx="1">
                  <c:v>2144</c:v>
                </c:pt>
                <c:pt idx="2">
                  <c:v>840</c:v>
                </c:pt>
                <c:pt idx="3">
                  <c:v>2496</c:v>
                </c:pt>
                <c:pt idx="4">
                  <c:v>5151</c:v>
                </c:pt>
                <c:pt idx="5">
                  <c:v>1530</c:v>
                </c:pt>
                <c:pt idx="6">
                  <c:v>669</c:v>
                </c:pt>
                <c:pt idx="7">
                  <c:v>188</c:v>
                </c:pt>
                <c:pt idx="8">
                  <c:v>1124</c:v>
                </c:pt>
                <c:pt idx="9">
                  <c:v>581</c:v>
                </c:pt>
                <c:pt idx="10">
                  <c:v>995</c:v>
                </c:pt>
                <c:pt idx="11">
                  <c:v>1239</c:v>
                </c:pt>
                <c:pt idx="12">
                  <c:v>539</c:v>
                </c:pt>
                <c:pt idx="13">
                  <c:v>518</c:v>
                </c:pt>
                <c:pt idx="14">
                  <c:v>731</c:v>
                </c:pt>
                <c:pt idx="15">
                  <c:v>2230</c:v>
                </c:pt>
                <c:pt idx="16">
                  <c:v>1392</c:v>
                </c:pt>
                <c:pt idx="17">
                  <c:v>9644</c:v>
                </c:pt>
                <c:pt idx="18">
                  <c:v>1212</c:v>
                </c:pt>
                <c:pt idx="19">
                  <c:v>232</c:v>
                </c:pt>
                <c:pt idx="20">
                  <c:v>1318</c:v>
                </c:pt>
                <c:pt idx="21">
                  <c:v>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58656816"/>
        <c:axId val="158657376"/>
      </c:barChart>
      <c:catAx>
        <c:axId val="1586568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7376"/>
        <c:crosses val="autoZero"/>
        <c:auto val="1"/>
        <c:lblAlgn val="ctr"/>
        <c:lblOffset val="100"/>
        <c:noMultiLvlLbl val="0"/>
      </c:catAx>
      <c:valAx>
        <c:axId val="1586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8f9b8d-fdf9-43a7-96f2-2b0e6d599c78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 Mini Project 3.xlsx]Pivot Tables!fast delivery vs region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Arial Black" panose="020B0A04020102020204" charset="0"/>
                <a:cs typeface="Arial Black" panose="020B0A04020102020204" charset="0"/>
              </a:rPr>
              <a:t>Cancellation Rate of Orders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32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7157530964778995E-2"/>
          <c:y val="0.153321976149915"/>
          <c:w val="0.57576809581669897"/>
          <c:h val="0.80725237284010698"/>
        </c:manualLayout>
      </c:layout>
      <c:doughnutChart>
        <c:varyColors val="1"/>
        <c:ser>
          <c:idx val="0"/>
          <c:order val="0"/>
          <c:tx>
            <c:strRef>
              <c:f>'Pivot Tables'!$V$3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Tables'!$U$4:$U$8</c:f>
              <c:strCache>
                <c:ptCount val="5"/>
                <c:pt idx="0">
                  <c:v>North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'Pivot Tables'!$V$4:$V$8</c:f>
              <c:numCache>
                <c:formatCode>0.00%</c:formatCode>
                <c:ptCount val="5"/>
                <c:pt idx="0">
                  <c:v>0.33333333333333298</c:v>
                </c:pt>
                <c:pt idx="1">
                  <c:v>0.266666666666667</c:v>
                </c:pt>
                <c:pt idx="2">
                  <c:v>0.16666666666666699</c:v>
                </c:pt>
                <c:pt idx="3">
                  <c:v>0.133333333333333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410317-ff71-4d8e-ba3c-840c78aa18e4}"/>
      </c:ext>
    </c:extLst>
  </c:chart>
  <c:spPr>
    <a:solidFill>
      <a:schemeClr val="accent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2.png"/><Relationship Id="rId7" Type="http://schemas.openxmlformats.org/officeDocument/2006/relationships/image" Target="../media/image4.emf"/><Relationship Id="rId2" Type="http://schemas.openxmlformats.org/officeDocument/2006/relationships/image" Target="../media/image1.emf"/><Relationship Id="rId1" Type="http://schemas.openxmlformats.org/officeDocument/2006/relationships/hyperlink" Target="Mini%20Project3%20Dashboard.xlsx" TargetMode="External"/><Relationship Id="rId6" Type="http://schemas.openxmlformats.org/officeDocument/2006/relationships/image" Target="../media/image3.emf"/><Relationship Id="rId5" Type="http://schemas.openxmlformats.org/officeDocument/2006/relationships/chart" Target="../charts/chart2.xml"/><Relationship Id="rId10" Type="http://schemas.openxmlformats.org/officeDocument/2006/relationships/chart" Target="../charts/chart5.xml"/><Relationship Id="rId4" Type="http://schemas.openxmlformats.org/officeDocument/2006/relationships/chart" Target="../charts/chart1.xml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39370</xdr:colOff>
      <xdr:row>1</xdr:row>
      <xdr:rowOff>116205</xdr:rowOff>
    </xdr:from>
    <xdr:to>
      <xdr:col>28</xdr:col>
      <xdr:colOff>464185</xdr:colOff>
      <xdr:row>10</xdr:row>
      <xdr:rowOff>138430</xdr:rowOff>
    </xdr:to>
    <xdr:sp macro="" textlink="">
      <xdr:nvSpPr>
        <xdr:cNvPr id="10" name="Rounded Rectangle 9">
          <a:hlinkClick xmlns:r="http://schemas.openxmlformats.org/officeDocument/2006/relationships" r:id="rId1"/>
        </xdr:cNvPr>
        <xdr:cNvSpPr/>
      </xdr:nvSpPr>
      <xdr:spPr>
        <a:xfrm>
          <a:off x="13881100" y="752475"/>
          <a:ext cx="2863215" cy="181292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ctr"/>
          <a:r>
            <a:rPr lang="en-US" sz="20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charset="0"/>
              <a:cs typeface="Arial Black" panose="020B0A04020102020204" charset="0"/>
              <a:sym typeface="+mn-ea"/>
            </a:rPr>
            <a:t>  </a:t>
          </a:r>
          <a:r>
            <a:rPr lang="en-US" sz="16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charset="0"/>
              <a:cs typeface="Arial Black" panose="020B0A04020102020204" charset="0"/>
              <a:sym typeface="+mn-ea"/>
            </a:rPr>
            <a:t>Target </a:t>
          </a:r>
          <a:r>
            <a:rPr lang="en-US" sz="1600" b="1"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charset="0"/>
              <a:cs typeface="Arial Black" panose="020B0A04020102020204" charset="0"/>
              <a:sym typeface="+mn-ea"/>
            </a:rPr>
            <a:t>Sales</a:t>
          </a:r>
        </a:p>
      </xdr:txBody>
    </xdr:sp>
    <xdr:clientData/>
  </xdr:twoCellAnchor>
  <xdr:twoCellAnchor editAs="oneCell">
    <xdr:from>
      <xdr:col>27</xdr:col>
      <xdr:colOff>100965</xdr:colOff>
      <xdr:row>7</xdr:row>
      <xdr:rowOff>185420</xdr:rowOff>
    </xdr:from>
    <xdr:to>
      <xdr:col>28</xdr:col>
      <xdr:colOff>264160</xdr:colOff>
      <xdr:row>9</xdr:row>
      <xdr:rowOff>88265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rcRect l="9173" t="11328" r="4458" b="15591"/>
        <a:stretch>
          <a:fillRect/>
        </a:stretch>
      </xdr:blipFill>
      <xdr:spPr>
        <a:xfrm>
          <a:off x="15771495" y="2040890"/>
          <a:ext cx="772795" cy="283845"/>
        </a:xfrm>
        <a:prstGeom prst="roundRect">
          <a:avLst/>
        </a:prstGeom>
        <a:solidFill>
          <a:schemeClr val="accent1">
            <a:lumMod val="50000"/>
          </a:schemeClr>
        </a:solidFill>
        <a:ln w="9525">
          <a:solidFill>
            <a:schemeClr val="accent1">
              <a:lumMod val="50000"/>
            </a:schemeClr>
          </a:solidFill>
        </a:ln>
      </xdr:spPr>
    </xdr:pic>
    <xdr:clientData/>
  </xdr:twoCellAnchor>
  <xdr:twoCellAnchor>
    <xdr:from>
      <xdr:col>24</xdr:col>
      <xdr:colOff>182880</xdr:colOff>
      <xdr:row>8</xdr:row>
      <xdr:rowOff>8255</xdr:rowOff>
    </xdr:from>
    <xdr:to>
      <xdr:col>26</xdr:col>
      <xdr:colOff>586740</xdr:colOff>
      <xdr:row>9</xdr:row>
      <xdr:rowOff>186690</xdr:rowOff>
    </xdr:to>
    <xdr:sp macro="" textlink="'Pivot Tables'!$G$26">
      <xdr:nvSpPr>
        <xdr:cNvPr id="9" name="Text Box 8"/>
        <xdr:cNvSpPr txBox="1"/>
      </xdr:nvSpPr>
      <xdr:spPr>
        <a:xfrm>
          <a:off x="14024610" y="2054225"/>
          <a:ext cx="1623060" cy="36893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600" b="1">
              <a:ln>
                <a:noFill/>
              </a:ln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$35,258.00 </a:t>
          </a:fld>
          <a:endParaRPr lang="en-US" sz="1600" b="1">
            <a:ln>
              <a:noFill/>
            </a:ln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 editAs="oneCell">
    <xdr:from>
      <xdr:col>1</xdr:col>
      <xdr:colOff>316230</xdr:colOff>
      <xdr:row>0</xdr:row>
      <xdr:rowOff>143510</xdr:rowOff>
    </xdr:from>
    <xdr:to>
      <xdr:col>3</xdr:col>
      <xdr:colOff>360680</xdr:colOff>
      <xdr:row>0</xdr:row>
      <xdr:rowOff>584835</xdr:rowOff>
    </xdr:to>
    <xdr:pic>
      <xdr:nvPicPr>
        <xdr:cNvPr id="3" name="Picture 2" descr="PngItem_1208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" y="143510"/>
          <a:ext cx="1263650" cy="441325"/>
        </a:xfrm>
        <a:prstGeom prst="rect">
          <a:avLst/>
        </a:prstGeom>
      </xdr:spPr>
    </xdr:pic>
    <xdr:clientData/>
  </xdr:twoCellAnchor>
  <xdr:twoCellAnchor>
    <xdr:from>
      <xdr:col>24</xdr:col>
      <xdr:colOff>85725</xdr:colOff>
      <xdr:row>24</xdr:row>
      <xdr:rowOff>66675</xdr:rowOff>
    </xdr:from>
    <xdr:to>
      <xdr:col>28</xdr:col>
      <xdr:colOff>471170</xdr:colOff>
      <xdr:row>34</xdr:row>
      <xdr:rowOff>35560</xdr:rowOff>
    </xdr:to>
    <xdr:sp macro="" textlink="">
      <xdr:nvSpPr>
        <xdr:cNvPr id="4" name="Rounded Rectangle 3"/>
        <xdr:cNvSpPr/>
      </xdr:nvSpPr>
      <xdr:spPr>
        <a:xfrm>
          <a:off x="13927455" y="5160645"/>
          <a:ext cx="2823845" cy="187388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Top 3 Performing Regions</a:t>
          </a:r>
        </a:p>
      </xdr:txBody>
    </xdr:sp>
    <xdr:clientData/>
  </xdr:twoCellAnchor>
  <xdr:twoCellAnchor>
    <xdr:from>
      <xdr:col>24</xdr:col>
      <xdr:colOff>205105</xdr:colOff>
      <xdr:row>28</xdr:row>
      <xdr:rowOff>5715</xdr:rowOff>
    </xdr:from>
    <xdr:to>
      <xdr:col>25</xdr:col>
      <xdr:colOff>587375</xdr:colOff>
      <xdr:row>29</xdr:row>
      <xdr:rowOff>114300</xdr:rowOff>
    </xdr:to>
    <xdr:sp macro="" textlink="'Pivot Tables'!$R$11">
      <xdr:nvSpPr>
        <xdr:cNvPr id="5" name="Text Box 4"/>
        <xdr:cNvSpPr txBox="1"/>
      </xdr:nvSpPr>
      <xdr:spPr>
        <a:xfrm>
          <a:off x="14046835" y="5861685"/>
          <a:ext cx="991870" cy="29908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North</a:t>
          </a:fld>
          <a:endParaRPr lang="en-US" sz="14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24</xdr:col>
      <xdr:colOff>203200</xdr:colOff>
      <xdr:row>31</xdr:row>
      <xdr:rowOff>166370</xdr:rowOff>
    </xdr:from>
    <xdr:to>
      <xdr:col>25</xdr:col>
      <xdr:colOff>460375</xdr:colOff>
      <xdr:row>33</xdr:row>
      <xdr:rowOff>48895</xdr:rowOff>
    </xdr:to>
    <xdr:sp macro="" textlink="'Pivot Tables'!$R$13">
      <xdr:nvSpPr>
        <xdr:cNvPr id="6" name="Text Box 5"/>
        <xdr:cNvSpPr txBox="1"/>
      </xdr:nvSpPr>
      <xdr:spPr>
        <a:xfrm>
          <a:off x="14044930" y="6593840"/>
          <a:ext cx="866775" cy="26352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South</a:t>
          </a:fld>
          <a:endParaRPr lang="en-US" sz="14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24</xdr:col>
      <xdr:colOff>256540</xdr:colOff>
      <xdr:row>29</xdr:row>
      <xdr:rowOff>158750</xdr:rowOff>
    </xdr:from>
    <xdr:to>
      <xdr:col>26</xdr:col>
      <xdr:colOff>17145</xdr:colOff>
      <xdr:row>31</xdr:row>
      <xdr:rowOff>52070</xdr:rowOff>
    </xdr:to>
    <xdr:sp macro="" textlink="'Pivot Tables'!$R$12">
      <xdr:nvSpPr>
        <xdr:cNvPr id="14" name="Text Box 13"/>
        <xdr:cNvSpPr txBox="1"/>
      </xdr:nvSpPr>
      <xdr:spPr>
        <a:xfrm>
          <a:off x="14098270" y="6205220"/>
          <a:ext cx="979805" cy="27432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West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26</xdr:col>
      <xdr:colOff>134620</xdr:colOff>
      <xdr:row>28</xdr:row>
      <xdr:rowOff>7620</xdr:rowOff>
    </xdr:from>
    <xdr:to>
      <xdr:col>28</xdr:col>
      <xdr:colOff>343535</xdr:colOff>
      <xdr:row>29</xdr:row>
      <xdr:rowOff>130175</xdr:rowOff>
    </xdr:to>
    <xdr:sp macro="" textlink="'Pivot Tables'!$S$11">
      <xdr:nvSpPr>
        <xdr:cNvPr id="16" name="Text Box 15"/>
        <xdr:cNvSpPr txBox="1"/>
      </xdr:nvSpPr>
      <xdr:spPr>
        <a:xfrm>
          <a:off x="15195550" y="5863590"/>
          <a:ext cx="1428115" cy="31305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$10,491.00 </a:t>
          </a:fld>
          <a:endParaRPr lang="en-US" sz="14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26</xdr:col>
      <xdr:colOff>243840</xdr:colOff>
      <xdr:row>29</xdr:row>
      <xdr:rowOff>159385</xdr:rowOff>
    </xdr:from>
    <xdr:to>
      <xdr:col>28</xdr:col>
      <xdr:colOff>344805</xdr:colOff>
      <xdr:row>31</xdr:row>
      <xdr:rowOff>85090</xdr:rowOff>
    </xdr:to>
    <xdr:sp macro="" textlink="'Pivot Tables'!$S$12">
      <xdr:nvSpPr>
        <xdr:cNvPr id="17" name="Text Box 16"/>
        <xdr:cNvSpPr txBox="1"/>
      </xdr:nvSpPr>
      <xdr:spPr>
        <a:xfrm>
          <a:off x="15304770" y="6205855"/>
          <a:ext cx="1320165" cy="30670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$8,359.00 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26</xdr:col>
      <xdr:colOff>231140</xdr:colOff>
      <xdr:row>31</xdr:row>
      <xdr:rowOff>151130</xdr:rowOff>
    </xdr:from>
    <xdr:to>
      <xdr:col>28</xdr:col>
      <xdr:colOff>278765</xdr:colOff>
      <xdr:row>33</xdr:row>
      <xdr:rowOff>43180</xdr:rowOff>
    </xdr:to>
    <xdr:sp macro="" textlink="'Pivot Tables'!$S$13">
      <xdr:nvSpPr>
        <xdr:cNvPr id="18" name="Text Box 17"/>
        <xdr:cNvSpPr txBox="1"/>
      </xdr:nvSpPr>
      <xdr:spPr>
        <a:xfrm>
          <a:off x="15292070" y="6578600"/>
          <a:ext cx="1266825" cy="2730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$7,317.00 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24</xdr:col>
      <xdr:colOff>66675</xdr:colOff>
      <xdr:row>17</xdr:row>
      <xdr:rowOff>69215</xdr:rowOff>
    </xdr:from>
    <xdr:to>
      <xdr:col>28</xdr:col>
      <xdr:colOff>464820</xdr:colOff>
      <xdr:row>23</xdr:row>
      <xdr:rowOff>170815</xdr:rowOff>
    </xdr:to>
    <xdr:sp macro="" textlink="">
      <xdr:nvSpPr>
        <xdr:cNvPr id="19" name="Rounded Rectangle 18"/>
        <xdr:cNvSpPr/>
      </xdr:nvSpPr>
      <xdr:spPr>
        <a:xfrm>
          <a:off x="13908405" y="3829685"/>
          <a:ext cx="2836545" cy="124460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Arial Black" panose="020B0A04020102020204" charset="0"/>
              <a:cs typeface="Arial Black" panose="020B0A04020102020204" charset="0"/>
            </a:rPr>
            <a:t>Highest Selling Product</a:t>
          </a:r>
          <a:r>
            <a:rPr lang="en-US" sz="1400">
              <a:latin typeface="Arial Black" panose="020B0A04020102020204" charset="0"/>
              <a:cs typeface="Arial Black" panose="020B0A04020102020204" charset="0"/>
            </a:rPr>
            <a:t>              </a:t>
          </a:r>
        </a:p>
      </xdr:txBody>
    </xdr:sp>
    <xdr:clientData/>
  </xdr:twoCellAnchor>
  <xdr:twoCellAnchor>
    <xdr:from>
      <xdr:col>24</xdr:col>
      <xdr:colOff>180975</xdr:colOff>
      <xdr:row>21</xdr:row>
      <xdr:rowOff>7620</xdr:rowOff>
    </xdr:from>
    <xdr:to>
      <xdr:col>26</xdr:col>
      <xdr:colOff>478155</xdr:colOff>
      <xdr:row>22</xdr:row>
      <xdr:rowOff>138430</xdr:rowOff>
    </xdr:to>
    <xdr:sp macro="" textlink="'Pivot Tables'!$G$27">
      <xdr:nvSpPr>
        <xdr:cNvPr id="20" name="Text Box 19"/>
        <xdr:cNvSpPr txBox="1"/>
      </xdr:nvSpPr>
      <xdr:spPr>
        <a:xfrm>
          <a:off x="14022705" y="4530090"/>
          <a:ext cx="1516380" cy="32131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Smartphone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26</xdr:col>
      <xdr:colOff>343535</xdr:colOff>
      <xdr:row>20</xdr:row>
      <xdr:rowOff>189865</xdr:rowOff>
    </xdr:from>
    <xdr:to>
      <xdr:col>28</xdr:col>
      <xdr:colOff>425450</xdr:colOff>
      <xdr:row>22</xdr:row>
      <xdr:rowOff>97155</xdr:rowOff>
    </xdr:to>
    <xdr:sp macro="" textlink="'Pivot Tables'!$F$27">
      <xdr:nvSpPr>
        <xdr:cNvPr id="21" name="Text Box 20"/>
        <xdr:cNvSpPr txBox="1"/>
      </xdr:nvSpPr>
      <xdr:spPr>
        <a:xfrm>
          <a:off x="15404465" y="4521835"/>
          <a:ext cx="1301115" cy="28829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$9,644.00 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24</xdr:col>
      <xdr:colOff>77470</xdr:colOff>
      <xdr:row>34</xdr:row>
      <xdr:rowOff>137795</xdr:rowOff>
    </xdr:from>
    <xdr:to>
      <xdr:col>28</xdr:col>
      <xdr:colOff>461645</xdr:colOff>
      <xdr:row>40</xdr:row>
      <xdr:rowOff>60325</xdr:rowOff>
    </xdr:to>
    <xdr:sp macro="" textlink="">
      <xdr:nvSpPr>
        <xdr:cNvPr id="22" name="Rounded Rectangle 21"/>
        <xdr:cNvSpPr/>
      </xdr:nvSpPr>
      <xdr:spPr>
        <a:xfrm>
          <a:off x="13919200" y="7136765"/>
          <a:ext cx="2822575" cy="106553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Arial Black" panose="020B0A04020102020204" charset="0"/>
              <a:cs typeface="Arial Black" panose="020B0A04020102020204" charset="0"/>
            </a:rPr>
            <a:t>% Fast Deliveries</a:t>
          </a:r>
        </a:p>
      </xdr:txBody>
    </xdr:sp>
    <xdr:clientData/>
  </xdr:twoCellAnchor>
  <xdr:twoCellAnchor>
    <xdr:from>
      <xdr:col>26</xdr:col>
      <xdr:colOff>556895</xdr:colOff>
      <xdr:row>36</xdr:row>
      <xdr:rowOff>162560</xdr:rowOff>
    </xdr:from>
    <xdr:to>
      <xdr:col>28</xdr:col>
      <xdr:colOff>5080</xdr:colOff>
      <xdr:row>38</xdr:row>
      <xdr:rowOff>90805</xdr:rowOff>
    </xdr:to>
    <xdr:sp macro="" textlink="'Pivot Tables'!$AC$12">
      <xdr:nvSpPr>
        <xdr:cNvPr id="23" name="Text Box 22"/>
        <xdr:cNvSpPr txBox="1"/>
      </xdr:nvSpPr>
      <xdr:spPr>
        <a:xfrm>
          <a:off x="15617825" y="7542530"/>
          <a:ext cx="667385" cy="30924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15%</a:t>
          </a:fld>
          <a:endParaRPr lang="en-US" sz="14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11</xdr:col>
      <xdr:colOff>190500</xdr:colOff>
      <xdr:row>17</xdr:row>
      <xdr:rowOff>5080</xdr:rowOff>
    </xdr:from>
    <xdr:to>
      <xdr:col>23</xdr:col>
      <xdr:colOff>509270</xdr:colOff>
      <xdr:row>39</xdr:row>
      <xdr:rowOff>170815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60960</xdr:colOff>
      <xdr:row>2</xdr:row>
      <xdr:rowOff>83820</xdr:rowOff>
    </xdr:from>
    <xdr:to>
      <xdr:col>11</xdr:col>
      <xdr:colOff>74295</xdr:colOff>
      <xdr:row>15</xdr:row>
      <xdr:rowOff>163830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79375</xdr:colOff>
      <xdr:row>11</xdr:row>
      <xdr:rowOff>104140</xdr:rowOff>
    </xdr:from>
    <xdr:to>
      <xdr:col>28</xdr:col>
      <xdr:colOff>478790</xdr:colOff>
      <xdr:row>16</xdr:row>
      <xdr:rowOff>180340</xdr:rowOff>
    </xdr:to>
    <xdr:sp macro="" textlink="">
      <xdr:nvSpPr>
        <xdr:cNvPr id="34" name="Rounded Rectangle 33"/>
        <xdr:cNvSpPr/>
      </xdr:nvSpPr>
      <xdr:spPr>
        <a:xfrm>
          <a:off x="13921105" y="2721610"/>
          <a:ext cx="2837815" cy="102870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Arial Black" panose="020B0A04020102020204" charset="0"/>
              <a:cs typeface="Arial Black" panose="020B0A04020102020204" charset="0"/>
            </a:rPr>
            <a:t>Effective Sales</a:t>
          </a:r>
        </a:p>
      </xdr:txBody>
    </xdr:sp>
    <xdr:clientData/>
  </xdr:twoCellAnchor>
  <xdr:twoCellAnchor editAs="oneCell">
    <xdr:from>
      <xdr:col>27</xdr:col>
      <xdr:colOff>127635</xdr:colOff>
      <xdr:row>14</xdr:row>
      <xdr:rowOff>20955</xdr:rowOff>
    </xdr:from>
    <xdr:to>
      <xdr:col>28</xdr:col>
      <xdr:colOff>399416</xdr:colOff>
      <xdr:row>15</xdr:row>
      <xdr:rowOff>126365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6"/>
        <a:srcRect l="2870" t="7469" r="2209" b="11618"/>
        <a:stretch>
          <a:fillRect/>
        </a:stretch>
      </xdr:blipFill>
      <xdr:spPr>
        <a:xfrm>
          <a:off x="15798165" y="3209925"/>
          <a:ext cx="881380" cy="295910"/>
        </a:xfrm>
        <a:prstGeom prst="roundRect">
          <a:avLst/>
        </a:prstGeom>
        <a:solidFill>
          <a:schemeClr val="accent1">
            <a:lumMod val="50000"/>
          </a:schemeClr>
        </a:solidFill>
        <a:ln w="9525">
          <a:noFill/>
        </a:ln>
      </xdr:spPr>
    </xdr:pic>
    <xdr:clientData/>
  </xdr:twoCellAnchor>
  <xdr:twoCellAnchor>
    <xdr:from>
      <xdr:col>24</xdr:col>
      <xdr:colOff>172720</xdr:colOff>
      <xdr:row>14</xdr:row>
      <xdr:rowOff>44450</xdr:rowOff>
    </xdr:from>
    <xdr:to>
      <xdr:col>26</xdr:col>
      <xdr:colOff>487680</xdr:colOff>
      <xdr:row>16</xdr:row>
      <xdr:rowOff>82550</xdr:rowOff>
    </xdr:to>
    <xdr:sp macro="" textlink="'Pivot Tables'!$K$21">
      <xdr:nvSpPr>
        <xdr:cNvPr id="36" name="Text Box 35"/>
        <xdr:cNvSpPr txBox="1"/>
      </xdr:nvSpPr>
      <xdr:spPr>
        <a:xfrm>
          <a:off x="14014450" y="3233420"/>
          <a:ext cx="1534160" cy="4191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$13,656.00 </a:t>
          </a:fld>
          <a:endParaRPr 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25</xdr:col>
      <xdr:colOff>233045</xdr:colOff>
      <xdr:row>6</xdr:row>
      <xdr:rowOff>57150</xdr:rowOff>
    </xdr:from>
    <xdr:to>
      <xdr:col>28</xdr:col>
      <xdr:colOff>45085</xdr:colOff>
      <xdr:row>8</xdr:row>
      <xdr:rowOff>7620</xdr:rowOff>
    </xdr:to>
    <xdr:sp macro="" textlink="">
      <xdr:nvSpPr>
        <xdr:cNvPr id="2" name="Text Box 1"/>
        <xdr:cNvSpPr txBox="1"/>
      </xdr:nvSpPr>
      <xdr:spPr>
        <a:xfrm>
          <a:off x="14684375" y="1645920"/>
          <a:ext cx="1640840" cy="40767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Total Sales</a:t>
          </a:r>
        </a:p>
      </xdr:txBody>
    </xdr:sp>
    <xdr:clientData/>
  </xdr:twoCellAnchor>
  <xdr:twoCellAnchor>
    <xdr:from>
      <xdr:col>24</xdr:col>
      <xdr:colOff>128905</xdr:colOff>
      <xdr:row>4</xdr:row>
      <xdr:rowOff>42545</xdr:rowOff>
    </xdr:from>
    <xdr:to>
      <xdr:col>27</xdr:col>
      <xdr:colOff>67945</xdr:colOff>
      <xdr:row>5</xdr:row>
      <xdr:rowOff>150495</xdr:rowOff>
    </xdr:to>
    <xdr:sp macro="" textlink="'Pivot Tables'!$R$9">
      <xdr:nvSpPr>
        <xdr:cNvPr id="8" name="Text Box 7"/>
        <xdr:cNvSpPr txBox="1"/>
      </xdr:nvSpPr>
      <xdr:spPr>
        <a:xfrm>
          <a:off x="13970635" y="1250315"/>
          <a:ext cx="1767840" cy="2984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 $435,250.00 </a:t>
          </a:fld>
          <a:endParaRPr 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 editAs="oneCell">
    <xdr:from>
      <xdr:col>27</xdr:col>
      <xdr:colOff>93345</xdr:colOff>
      <xdr:row>4</xdr:row>
      <xdr:rowOff>80645</xdr:rowOff>
    </xdr:from>
    <xdr:to>
      <xdr:col>28</xdr:col>
      <xdr:colOff>267970</xdr:colOff>
      <xdr:row>5</xdr:row>
      <xdr:rowOff>161290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rcRect l="5285" t="9845" r="5420" b="10880"/>
        <a:stretch>
          <a:fillRect/>
        </a:stretch>
      </xdr:blipFill>
      <xdr:spPr>
        <a:xfrm>
          <a:off x="15763875" y="1288415"/>
          <a:ext cx="784225" cy="271145"/>
        </a:xfrm>
        <a:prstGeom prst="roundRect">
          <a:avLst/>
        </a:prstGeom>
        <a:solidFill>
          <a:schemeClr val="accent1">
            <a:lumMod val="50000"/>
          </a:schemeClr>
        </a:solidFill>
        <a:ln w="9525">
          <a:noFill/>
        </a:ln>
      </xdr:spPr>
    </xdr:pic>
    <xdr:clientData/>
  </xdr:twoCellAnchor>
  <xdr:twoCellAnchor>
    <xdr:from>
      <xdr:col>17</xdr:col>
      <xdr:colOff>356870</xdr:colOff>
      <xdr:row>2</xdr:row>
      <xdr:rowOff>57150</xdr:rowOff>
    </xdr:from>
    <xdr:to>
      <xdr:col>23</xdr:col>
      <xdr:colOff>438785</xdr:colOff>
      <xdr:row>15</xdr:row>
      <xdr:rowOff>147320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34925</xdr:colOff>
      <xdr:row>17</xdr:row>
      <xdr:rowOff>12065</xdr:rowOff>
    </xdr:from>
    <xdr:to>
      <xdr:col>11</xdr:col>
      <xdr:colOff>48895</xdr:colOff>
      <xdr:row>39</xdr:row>
      <xdr:rowOff>160020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87630</xdr:colOff>
      <xdr:row>1</xdr:row>
      <xdr:rowOff>116840</xdr:rowOff>
    </xdr:from>
    <xdr:to>
      <xdr:col>4</xdr:col>
      <xdr:colOff>186690</xdr:colOff>
      <xdr:row>10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" y="753110"/>
              <a:ext cx="1927860" cy="172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99695</xdr:colOff>
      <xdr:row>10</xdr:row>
      <xdr:rowOff>184150</xdr:rowOff>
    </xdr:from>
    <xdr:to>
      <xdr:col>4</xdr:col>
      <xdr:colOff>185420</xdr:colOff>
      <xdr:row>20</xdr:row>
      <xdr:rowOff>34925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045" y="2611120"/>
              <a:ext cx="1914525" cy="1755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213995</xdr:colOff>
      <xdr:row>2</xdr:row>
      <xdr:rowOff>59055</xdr:rowOff>
    </xdr:from>
    <xdr:to>
      <xdr:col>17</xdr:col>
      <xdr:colOff>229235</xdr:colOff>
      <xdr:row>15</xdr:row>
      <xdr:rowOff>167640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86995</xdr:colOff>
      <xdr:row>20</xdr:row>
      <xdr:rowOff>181610</xdr:rowOff>
    </xdr:from>
    <xdr:to>
      <xdr:col>4</xdr:col>
      <xdr:colOff>174625</xdr:colOff>
      <xdr:row>30</xdr:row>
      <xdr:rowOff>43815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45" y="4513580"/>
              <a:ext cx="1916430" cy="17672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73660</xdr:colOff>
      <xdr:row>30</xdr:row>
      <xdr:rowOff>160020</xdr:rowOff>
    </xdr:from>
    <xdr:to>
      <xdr:col>4</xdr:col>
      <xdr:colOff>163830</xdr:colOff>
      <xdr:row>40</xdr:row>
      <xdr:rowOff>71120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onthwise Order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wise Order 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010" y="6396990"/>
              <a:ext cx="1918970" cy="181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24</xdr:col>
      <xdr:colOff>196215</xdr:colOff>
      <xdr:row>36</xdr:row>
      <xdr:rowOff>170180</xdr:rowOff>
    </xdr:from>
    <xdr:to>
      <xdr:col>26</xdr:col>
      <xdr:colOff>524510</xdr:colOff>
      <xdr:row>38</xdr:row>
      <xdr:rowOff>86995</xdr:rowOff>
    </xdr:to>
    <xdr:sp macro="" textlink="">
      <xdr:nvSpPr>
        <xdr:cNvPr id="39" name="Text Box 38"/>
        <xdr:cNvSpPr txBox="1"/>
      </xdr:nvSpPr>
      <xdr:spPr>
        <a:xfrm>
          <a:off x="14037945" y="7550150"/>
          <a:ext cx="1547495" cy="29781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ln>
                <a:noFill/>
              </a:ln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For All Orders</a:t>
          </a:r>
        </a:p>
      </xdr:txBody>
    </xdr:sp>
    <xdr:clientData/>
  </xdr:twoCellAnchor>
  <xdr:twoCellAnchor>
    <xdr:from>
      <xdr:col>24</xdr:col>
      <xdr:colOff>213995</xdr:colOff>
      <xdr:row>38</xdr:row>
      <xdr:rowOff>76835</xdr:rowOff>
    </xdr:from>
    <xdr:to>
      <xdr:col>26</xdr:col>
      <xdr:colOff>461645</xdr:colOff>
      <xdr:row>39</xdr:row>
      <xdr:rowOff>146685</xdr:rowOff>
    </xdr:to>
    <xdr:sp macro="" textlink="">
      <xdr:nvSpPr>
        <xdr:cNvPr id="40" name="Text Box 39"/>
        <xdr:cNvSpPr txBox="1"/>
      </xdr:nvSpPr>
      <xdr:spPr>
        <a:xfrm>
          <a:off x="14055725" y="7837805"/>
          <a:ext cx="1466850" cy="2603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ln>
                <a:noFill/>
              </a:ln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Top Region</a:t>
          </a:r>
        </a:p>
      </xdr:txBody>
    </xdr:sp>
    <xdr:clientData/>
  </xdr:twoCellAnchor>
  <xdr:twoCellAnchor>
    <xdr:from>
      <xdr:col>26</xdr:col>
      <xdr:colOff>545465</xdr:colOff>
      <xdr:row>38</xdr:row>
      <xdr:rowOff>63500</xdr:rowOff>
    </xdr:from>
    <xdr:to>
      <xdr:col>28</xdr:col>
      <xdr:colOff>307975</xdr:colOff>
      <xdr:row>39</xdr:row>
      <xdr:rowOff>182245</xdr:rowOff>
    </xdr:to>
    <xdr:sp macro="" textlink="'Pivot Tables'!$AC$14">
      <xdr:nvSpPr>
        <xdr:cNvPr id="41" name="Text Box 40"/>
        <xdr:cNvSpPr txBox="1"/>
      </xdr:nvSpPr>
      <xdr:spPr>
        <a:xfrm>
          <a:off x="15606395" y="7824470"/>
          <a:ext cx="981710" cy="30924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en-US" sz="1400" b="1">
              <a:ln>
                <a:noFill/>
              </a:ln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pPr algn="l"/>
            <a:t>North</a:t>
          </a:fld>
          <a:endParaRPr lang="en-US" sz="1400" b="1">
            <a:ln>
              <a:noFill/>
            </a:ln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899.664895833303" createdVersion="5" refreshedVersion="5" minRefreshableVersion="3" recordCount="3">
  <cacheSource type="worksheet">
    <worksheetSource ref="E23:F26" sheet="Regional goal"/>
  </cacheSource>
  <cacheFields count="2">
    <cacheField name="Region" numFmtId="0">
      <sharedItems count="3">
        <s v="North"/>
        <s v="West"/>
        <s v="South"/>
      </sharedItems>
    </cacheField>
    <cacheField name="Sales Target vs Sales Achieved" numFmtId="9">
      <sharedItems containsSemiMixedTypes="0" containsString="0" containsNumber="1" minValue="0" maxValue="9.9914285714285705E-2" count="3">
        <n v="9.9914285714285705E-2"/>
        <n v="9.2110192837465604E-2"/>
        <n v="7.9967213114754104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899.664895833303" createdVersion="5" refreshedVersion="5" minRefreshableVersion="3" recordCount="100">
  <cacheSource type="worksheet">
    <worksheetSource ref="A1:AD101" sheet="Data"/>
  </cacheSource>
  <cacheFields count="30">
    <cacheField name="Order ID" numFmtId="0">
      <sharedItems count="1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</sharedItems>
    </cacheField>
    <cacheField name="Order Date" numFmtId="168">
      <sharedItems containsSemiMixedTypes="0" containsNonDate="0" containsDate="1" containsString="0" minDate="2023-01-07T00:00:00" maxDate="2023-12-31T00:00:00" count="81">
        <d v="2023-12-31T00:00:00"/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</sharedItems>
    </cacheField>
    <cacheField name="Monthwise Order " numFmtId="168">
      <sharedItems count="12">
        <s v="Dec"/>
        <s v="Feb"/>
        <s v="Oct"/>
        <s v="May"/>
        <s v="Nov"/>
        <s v="Aug"/>
        <s v="Apr"/>
        <s v="Jul"/>
        <s v="Jun"/>
        <s v="Jan"/>
        <s v="Mar"/>
        <s v="Sep"/>
      </sharedItems>
    </cacheField>
    <cacheField name="Delivery Date" numFmtId="168">
      <sharedItems containsNonDate="0" containsDate="1" containsString="0" containsBlank="1" minDate="2023-01-09T00:00:00" maxDate="2024-01-01T00:00:00" count="32">
        <m/>
        <d v="2023-02-24T00:00:00"/>
        <d v="2023-02-05T00:00:00"/>
        <d v="2023-07-01T00:00:00"/>
        <d v="2023-11-05T00:00:00"/>
        <d v="2023-05-30T00:00:00"/>
        <d v="2023-10-21T00:00:00"/>
        <d v="2023-05-23T00:00:00"/>
        <d v="2023-12-26T00:00:00"/>
        <d v="2023-10-22T00:00:00"/>
        <d v="2023-09-30T00:00:00"/>
        <d v="2023-07-18T00:00:00"/>
        <d v="2023-12-08T00:00:00"/>
        <d v="2023-07-19T00:00:00"/>
        <d v="2023-10-24T00:00:00"/>
        <d v="2023-02-19T00:00:00"/>
        <d v="2023-02-01T00:00:00"/>
        <d v="2024-01-01T00:00:00"/>
        <d v="2023-02-06T00:00:00"/>
        <d v="2023-01-09T00:00:00"/>
        <d v="2023-11-29T00:00:00"/>
        <d v="2023-12-29T00:00:00"/>
        <d v="2023-07-30T00:00:00"/>
        <d v="2023-12-25T00:00:00"/>
        <d v="2023-01-24T00:00:00"/>
        <d v="2023-09-09T00:00:00"/>
        <d v="2023-11-04T00:00:00"/>
        <d v="2023-10-19T00:00:00"/>
        <d v="2023-10-30T00:00:00"/>
        <d v="2023-06-29T00:00:00"/>
        <d v="2023-02-21T00:00:00"/>
        <d v="2023-07-12T00:00:00"/>
      </sharedItems>
    </cacheField>
    <cacheField name="Cancel Date" numFmtId="168">
      <sharedItems containsNonDate="0" containsDate="1" containsString="0" containsBlank="1" minDate="2023-01-24T00:00:00" maxDate="2024-01-02T00:00:00" count="29">
        <d v="2024-01-02T00:00:00"/>
        <m/>
        <d v="2023-05-11T00:00:00"/>
        <d v="2023-11-02T00:00:00"/>
        <d v="2023-08-18T00:00:00"/>
        <d v="2023-04-06T00:00:00"/>
        <d v="2023-05-08T00:00:00"/>
        <d v="2023-02-28T00:00:00"/>
        <d v="2023-02-25T00:00:00"/>
        <d v="2023-09-02T00:00:00"/>
        <d v="2023-02-14T00:00:00"/>
        <d v="2023-10-10T00:00:00"/>
        <d v="2023-06-22T00:00:00"/>
        <d v="2023-08-24T00:00:00"/>
        <d v="2023-02-11T00:00:00"/>
        <d v="2023-12-23T00:00:00"/>
        <d v="2023-06-14T00:00:00"/>
        <d v="2023-03-13T00:00:00"/>
        <d v="2023-04-05T00:00:00"/>
        <d v="2023-10-12T00:00:00"/>
        <d v="2023-10-20T00:00:00"/>
        <d v="2023-05-21T00:00:00"/>
        <d v="2023-07-07T00:00:00"/>
        <d v="2023-07-25T00:00:00"/>
        <d v="2023-12-06T00:00:00"/>
        <d v="2023-06-18T00:00:00"/>
        <d v="2023-12-12T00:00:00"/>
        <d v="2023-06-12T00:00:00"/>
        <d v="2023-01-24T00:00:00"/>
      </sharedItems>
    </cacheField>
    <cacheField name="Customer ID" numFmtId="0">
      <sharedItems count="42">
        <s v="CUST021"/>
        <s v="CUST029"/>
        <s v="CUST044"/>
        <s v="CUST027"/>
        <s v="CUST009"/>
        <s v="CUST042"/>
        <s v="CUST019"/>
        <s v="CUST013"/>
        <s v="CUST046"/>
        <s v="CUST045"/>
        <s v="CUST023"/>
        <s v="CUST033"/>
        <s v="CUST047"/>
        <s v="CUST011"/>
        <s v="CUST041"/>
        <s v="CUST025"/>
        <s v="CUST016"/>
        <s v="CUST028"/>
        <s v="CUST040"/>
        <s v="CUST018"/>
        <s v="CUST007"/>
        <s v="CUST008"/>
        <s v="CUST014"/>
        <s v="CUST037"/>
        <s v="CUST032"/>
        <s v="CUST024"/>
        <s v="CUST006"/>
        <s v="CUST001"/>
        <s v="CUST039"/>
        <s v="CUST026"/>
        <s v="CUST017"/>
        <s v="CUST003"/>
        <s v="CUST035"/>
        <s v="CUST022"/>
        <s v="CUST004"/>
        <s v="CUST048"/>
        <s v="CUST050"/>
        <s v="CUST015"/>
        <s v="CUST043"/>
        <s v="CUST031"/>
        <s v="CUST036"/>
        <s v="CUST034"/>
      </sharedItems>
    </cacheField>
    <cacheField name="Customer Name" numFmtId="0">
      <sharedItems count="30">
        <s v="Zoe Mitchell"/>
        <s v="Ava White"/>
        <s v="Grace Ward"/>
        <s v="Hazel Brooks"/>
        <s v="Jackson Allen"/>
        <s v="Noah Wilson"/>
        <s v="Ava Robinson"/>
        <s v="Olivia Martinez"/>
        <s v="Emily Johnson"/>
        <s v="Charlotte Reed"/>
        <s v="Hazel Rivera"/>
        <s v="Scarlett Murphy"/>
        <s v="Mason Hall"/>
        <s v="Jacob Price"/>
        <s v="Emma King"/>
        <s v="Elijah Lewis"/>
        <s v="Lily Bennett"/>
        <s v="Benjamin Clark"/>
        <s v="Grace Scott"/>
        <s v="Liam Walker"/>
        <s v="Harper Young"/>
        <s v="Luke Gray"/>
        <s v="James Miller"/>
        <s v="Logan Ramirez"/>
        <s v="Ethan Davis"/>
        <s v="Scarlett Adams"/>
        <e v="#N/A"/>
        <s v="Lily Reed"/>
        <s v="Mason Collins"/>
        <s v="Lily Simmons"/>
      </sharedItems>
    </cacheField>
    <cacheField name="Customer Type" numFmtId="0">
      <sharedItems count="4">
        <s v="Individual"/>
        <s v="Business"/>
        <s v="Prime"/>
        <e v="#N/A"/>
      </sharedItems>
    </cacheField>
    <cacheField name="State" numFmtId="0">
      <sharedItems count="8">
        <s v="Texas"/>
        <s v="Florida"/>
        <s v="Arizona"/>
        <s v="Washington"/>
        <s v="Illinois"/>
        <s v="California"/>
        <s v="New York"/>
        <e v="#N/A"/>
      </sharedItems>
    </cacheField>
    <cacheField name="City" numFmtId="0">
      <sharedItems count="9">
        <s v="Austin"/>
        <s v="Miami"/>
        <s v="Phoenix"/>
        <s v="Seattle"/>
        <s v="Chicago"/>
        <s v="San Francisco"/>
        <s v="Dallas"/>
        <s v="New York"/>
        <e v="#N/A"/>
      </sharedItems>
    </cacheField>
    <cacheField name="Product ID" numFmtId="0">
      <sharedItems count="22">
        <s v="PROD012"/>
        <s v="PROD018"/>
        <s v="PROD013"/>
        <s v="PROD010"/>
        <s v="PROD020"/>
        <s v="PROD021"/>
        <s v="PROD019"/>
        <s v="PROD003"/>
        <s v="PROD014"/>
        <s v="PROD006"/>
        <s v="PROD017"/>
        <s v="PROD005"/>
        <s v="PROD015"/>
        <s v="PROD008"/>
        <s v="PROD001"/>
        <s v="PROD002"/>
        <s v="PROD022"/>
        <s v="PROD009"/>
        <s v="PROD011"/>
        <s v="PROD016"/>
        <s v="PROD007"/>
        <s v="PROD004"/>
      </sharedItems>
    </cacheField>
    <cacheField name="Region" numFmtId="0">
      <sharedItems count="5">
        <s v="North"/>
        <s v="East"/>
        <s v="South"/>
        <s v="Central"/>
        <s v="West"/>
      </sharedItems>
    </cacheField>
    <cacheField name="Product Name " numFmtId="0">
      <sharedItems count="22">
        <s v="Lamp"/>
        <s v="Doll House"/>
        <s v="Vacuum Cleaner"/>
        <s v="Jeans"/>
        <s v="Bluetooth Speaker"/>
        <s v="Wall Clock"/>
        <s v="Formal Shirt"/>
        <s v="Cookware Set"/>
        <s v="Smartwatch"/>
        <s v="Shoes"/>
        <s v="Gaming Mouse"/>
        <s v="T-Shirt"/>
        <s v="Novel"/>
        <s v="Textbook"/>
        <s v="Smartphone"/>
        <s v="Action Figure"/>
        <s v="Backpack"/>
        <s v="Magazine"/>
        <s v="Headphones"/>
        <s v="Cookware Set Pro"/>
        <s v="Puzzle"/>
        <s v="Leg Set"/>
      </sharedItems>
    </cacheField>
    <cacheField name="Category" numFmtId="0">
      <sharedItems count="5">
        <s v="Home"/>
        <s v="Toys"/>
        <s v="Fashion"/>
        <s v="Electronics"/>
        <s v="Books"/>
      </sharedItems>
    </cacheField>
    <cacheField name="Cost Price/Unit" numFmtId="6">
      <sharedItems containsSemiMixedTypes="0" containsString="0" containsNumber="1" containsInteger="1" minValue="10" maxValue="749" count="21">
        <n v="42"/>
        <n v="89"/>
        <n v="185"/>
        <n v="55"/>
        <n v="99"/>
        <n v="34"/>
        <n v="40"/>
        <n v="129"/>
        <n v="229"/>
        <n v="69"/>
        <n v="25"/>
        <n v="20"/>
        <n v="65"/>
        <n v="749"/>
        <n v="39"/>
        <n v="60"/>
        <n v="10"/>
        <n v="159"/>
        <n v="199"/>
        <n v="29"/>
        <n v="59"/>
      </sharedItems>
    </cacheField>
    <cacheField name="Sale Price/Unit" numFmtId="6">
      <sharedItems containsSemiMixedTypes="0" containsString="0" containsNumber="1" containsInteger="1" minValue="11" maxValue="815" count="54">
        <n v="44"/>
        <n v="96"/>
        <n v="194"/>
        <n v="196"/>
        <n v="59"/>
        <n v="58"/>
        <n v="105"/>
        <n v="37"/>
        <n v="141"/>
        <n v="249"/>
        <n v="247"/>
        <n v="74"/>
        <n v="27"/>
        <n v="21"/>
        <n v="70"/>
        <n v="94"/>
        <n v="813"/>
        <n v="46"/>
        <n v="43"/>
        <n v="64"/>
        <n v="97"/>
        <n v="69"/>
        <n v="42"/>
        <n v="11"/>
        <n v="172"/>
        <n v="212"/>
        <n v="41"/>
        <n v="32"/>
        <n v="66"/>
        <n v="62"/>
        <n v="173"/>
        <n v="63"/>
        <n v="36"/>
        <n v="137"/>
        <n v="73"/>
        <n v="104"/>
        <n v="22"/>
        <n v="218"/>
        <n v="65"/>
        <n v="26"/>
        <n v="195"/>
        <n v="815"/>
        <n v="139"/>
        <n v="31"/>
        <n v="95"/>
        <n v="214"/>
        <n v="174"/>
        <n v="210"/>
        <n v="788"/>
        <n v="217"/>
        <n v="138"/>
        <n v="803"/>
        <n v="248"/>
        <n v="215"/>
      </sharedItems>
    </cacheField>
    <cacheField name="Quantity" numFmtId="0">
      <sharedItems containsSemiMixedTypes="0" containsString="0" containsNumber="1" containsInteger="1" minValue="1" maxValue="5" count="5">
        <n v="1"/>
        <n v="4"/>
        <n v="3"/>
        <n v="5"/>
        <n v="2"/>
      </sharedItems>
    </cacheField>
    <cacheField name="Total Amount" numFmtId="6">
      <sharedItems containsSemiMixedTypes="0" containsString="0" containsNumber="1" containsInteger="1" minValue="21" maxValue="3260" count="82">
        <n v="44"/>
        <n v="384"/>
        <n v="776"/>
        <n v="588"/>
        <n v="59"/>
        <n v="232"/>
        <n v="315"/>
        <n v="185"/>
        <n v="88"/>
        <n v="564"/>
        <n v="249"/>
        <n v="741"/>
        <n v="96"/>
        <n v="370"/>
        <n v="27"/>
        <n v="81"/>
        <n v="63"/>
        <n v="350"/>
        <n v="376"/>
        <n v="1626"/>
        <n v="84"/>
        <n v="230"/>
        <n v="174"/>
        <n v="480"/>
        <n v="43"/>
        <n v="256"/>
        <n v="140"/>
        <n v="291"/>
        <n v="111"/>
        <n v="345"/>
        <n v="210"/>
        <n v="55"/>
        <n v="54"/>
        <n v="21"/>
        <n v="172"/>
        <n v="636"/>
        <n v="164"/>
        <n v="64"/>
        <n v="132"/>
        <n v="248"/>
        <n v="692"/>
        <n v="189"/>
        <n v="108"/>
        <n v="62"/>
        <n v="685"/>
        <n v="292"/>
        <n v="104"/>
        <n v="97"/>
        <n v="365"/>
        <n v="37"/>
        <n v="22"/>
        <n v="1090"/>
        <n v="144"/>
        <n v="65"/>
        <n v="26"/>
        <n v="780"/>
        <n v="220"/>
        <n v="276"/>
        <n v="3260"/>
        <n v="695"/>
        <n v="207"/>
        <n v="42"/>
        <n v="124"/>
        <n v="312"/>
        <n v="116"/>
        <n v="190"/>
        <n v="1070"/>
        <n v="46"/>
        <n v="380"/>
        <n v="348"/>
        <n v="135"/>
        <n v="130"/>
        <n v="215"/>
        <n v="3152"/>
        <n v="1085"/>
        <n v="552"/>
        <n v="1606"/>
        <n v="1240"/>
        <n v="630"/>
        <n v="475"/>
        <n v="430"/>
        <n v="168"/>
      </sharedItems>
    </cacheField>
    <cacheField name="Payment Method" numFmtId="0">
      <sharedItems count="5">
        <s v="Apple Pay"/>
        <s v="Credit Card"/>
        <s v="PayPal"/>
        <s v="Amazon Pay"/>
        <s v="Debit Card"/>
      </sharedItems>
    </cacheField>
    <cacheField name="Delivery Status" numFmtId="0">
      <sharedItems count="3">
        <s v="Cancelled"/>
        <s v="Delivered"/>
        <s v="In Transit"/>
      </sharedItems>
    </cacheField>
    <cacheField name="Fulfillment Partner" numFmtId="0">
      <sharedItems count="5">
        <s v="DHL"/>
        <s v="USPS"/>
        <s v="UPS"/>
        <s v="Amazon Logistics"/>
        <s v="FedEx"/>
      </sharedItems>
    </cacheField>
    <cacheField name="Avg. Delivery Time" numFmtId="169">
      <sharedItems containsMixedTypes="1" containsNumber="1" containsInteger="1" count="8">
        <s v="Not Delivered"/>
        <n v="2"/>
        <n v="3"/>
        <n v="6"/>
        <n v="1"/>
        <n v="4"/>
        <n v="5"/>
        <n v="7"/>
      </sharedItems>
    </cacheField>
    <cacheField name="Delivery Performance" numFmtId="0">
      <sharedItems count="3">
        <s v="Cancelled Order"/>
        <s v="Fast"/>
        <s v="Slow"/>
      </sharedItems>
    </cacheField>
    <cacheField name="Target Sales" numFmtId="0">
      <sharedItems containsString="0" containsBlank="1" containsNumber="1" containsInteger="1" minValue="50500" maxValue="105000" count="6">
        <n v="105000"/>
        <n v="50500"/>
        <n v="91500"/>
        <m/>
        <n v="97500"/>
        <n v="90750"/>
      </sharedItems>
    </cacheField>
    <cacheField name="Sales Achieved " numFmtId="0">
      <sharedItems containsString="0" containsBlank="1" containsNumber="1" containsInteger="1" minValue="3635" maxValue="10491" count="6">
        <n v="10491"/>
        <n v="3635"/>
        <n v="7317"/>
        <m/>
        <n v="5456"/>
        <n v="8359"/>
      </sharedItems>
    </cacheField>
    <cacheField name="Total Cancelled Orders" numFmtId="0">
      <sharedItems containsString="0" containsBlank="1" containsNumber="1" containsInteger="1" minValue="3" maxValue="10" count="6">
        <n v="10"/>
        <n v="3"/>
        <n v="4"/>
        <m/>
        <n v="5"/>
        <n v="8"/>
      </sharedItems>
    </cacheField>
    <cacheField name="Total Fast delivery" numFmtId="0">
      <sharedItems containsString="0" containsBlank="1" containsNumber="1" containsInteger="1" minValue="1" maxValue="3" count="4">
        <n v="3"/>
        <n v="2"/>
        <m/>
        <n v="1"/>
      </sharedItems>
    </cacheField>
    <cacheField name="Total Slow Deliveries" numFmtId="0">
      <sharedItems containsString="0" containsBlank="1" containsNumber="1" containsInteger="1" minValue="8" maxValue="13" count="4">
        <n v="12"/>
        <n v="13"/>
        <m/>
        <n v="8"/>
      </sharedItems>
    </cacheField>
    <cacheField name="Fast Delivery percentage" numFmtId="0">
      <sharedItems containsString="0" containsBlank="1" containsNumber="1" minValue="0.11111111111111099" maxValue="0.2" count="5">
        <n v="0.2"/>
        <n v="0.133333333333333"/>
        <n v="0.1875"/>
        <m/>
        <n v="0.11111111111111099"/>
      </sharedItems>
    </cacheField>
    <cacheField name="Cancelled Rate" numFmtId="0">
      <sharedItems containsString="0" containsBlank="1" containsNumber="1" minValue="0.1" maxValue="0.33333333333333298" count="6">
        <n v="0.33333333333333298"/>
        <n v="0.1"/>
        <n v="0.133333333333333"/>
        <m/>
        <n v="0.16666666666666699"/>
        <n v="0.2666666666666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5899.832615740699" createdVersion="5" refreshedVersion="5" minRefreshableVersion="3" recordCount="101">
  <cacheSource type="worksheet">
    <worksheetSource ref="A1:AD1048576" sheet="Data"/>
  </cacheSource>
  <cacheFields count="30">
    <cacheField name="Order ID" numFmtId="0">
      <sharedItems containsBlank="1" count="101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m/>
      </sharedItems>
    </cacheField>
    <cacheField name="Order Date" numFmtId="168">
      <sharedItems containsNonDate="0" containsDate="1" containsString="0" containsBlank="1" minDate="2023-01-07T00:00:00" maxDate="2023-12-31T00:00:00" count="82">
        <d v="2023-12-31T00:00:00"/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  <m/>
      </sharedItems>
    </cacheField>
    <cacheField name="Monthwise Order " numFmtId="168">
      <sharedItems containsBlank="1" count="13">
        <s v="Dec"/>
        <s v="Feb"/>
        <s v="Oct"/>
        <s v="May"/>
        <s v="Nov"/>
        <s v="Aug"/>
        <s v="Apr"/>
        <s v="Jul"/>
        <s v="Jun"/>
        <s v="Jan"/>
        <s v="Mar"/>
        <s v="Sep"/>
        <m/>
      </sharedItems>
    </cacheField>
    <cacheField name="Delivery Date" numFmtId="168">
      <sharedItems containsNonDate="0" containsDate="1" containsString="0" containsBlank="1" minDate="2023-01-09T00:00:00" maxDate="2024-01-01T00:00:00" count="32">
        <m/>
        <d v="2023-02-24T00:00:00"/>
        <d v="2023-02-05T00:00:00"/>
        <d v="2023-07-01T00:00:00"/>
        <d v="2023-11-05T00:00:00"/>
        <d v="2023-05-30T00:00:00"/>
        <d v="2023-10-21T00:00:00"/>
        <d v="2023-05-23T00:00:00"/>
        <d v="2023-12-26T00:00:00"/>
        <d v="2023-10-22T00:00:00"/>
        <d v="2023-09-30T00:00:00"/>
        <d v="2023-07-18T00:00:00"/>
        <d v="2023-12-08T00:00:00"/>
        <d v="2023-07-19T00:00:00"/>
        <d v="2023-10-24T00:00:00"/>
        <d v="2023-02-19T00:00:00"/>
        <d v="2023-02-01T00:00:00"/>
        <d v="2024-01-01T00:00:00"/>
        <d v="2023-02-06T00:00:00"/>
        <d v="2023-01-09T00:00:00"/>
        <d v="2023-11-29T00:00:00"/>
        <d v="2023-12-29T00:00:00"/>
        <d v="2023-07-30T00:00:00"/>
        <d v="2023-12-25T00:00:00"/>
        <d v="2023-01-24T00:00:00"/>
        <d v="2023-09-09T00:00:00"/>
        <d v="2023-11-04T00:00:00"/>
        <d v="2023-10-19T00:00:00"/>
        <d v="2023-10-30T00:00:00"/>
        <d v="2023-06-29T00:00:00"/>
        <d v="2023-02-21T00:00:00"/>
        <d v="2023-07-12T00:00:00"/>
      </sharedItems>
    </cacheField>
    <cacheField name="Cancel Date" numFmtId="168">
      <sharedItems containsNonDate="0" containsDate="1" containsString="0" containsBlank="1" minDate="2023-01-24T00:00:00" maxDate="2024-01-02T00:00:00" count="29">
        <d v="2024-01-02T00:00:00"/>
        <m/>
        <d v="2023-05-11T00:00:00"/>
        <d v="2023-11-02T00:00:00"/>
        <d v="2023-08-18T00:00:00"/>
        <d v="2023-04-06T00:00:00"/>
        <d v="2023-05-08T00:00:00"/>
        <d v="2023-02-28T00:00:00"/>
        <d v="2023-02-25T00:00:00"/>
        <d v="2023-09-02T00:00:00"/>
        <d v="2023-02-14T00:00:00"/>
        <d v="2023-10-10T00:00:00"/>
        <d v="2023-06-22T00:00:00"/>
        <d v="2023-08-24T00:00:00"/>
        <d v="2023-02-11T00:00:00"/>
        <d v="2023-12-23T00:00:00"/>
        <d v="2023-06-14T00:00:00"/>
        <d v="2023-03-13T00:00:00"/>
        <d v="2023-04-05T00:00:00"/>
        <d v="2023-10-12T00:00:00"/>
        <d v="2023-10-20T00:00:00"/>
        <d v="2023-05-21T00:00:00"/>
        <d v="2023-07-07T00:00:00"/>
        <d v="2023-07-25T00:00:00"/>
        <d v="2023-12-06T00:00:00"/>
        <d v="2023-06-18T00:00:00"/>
        <d v="2023-12-12T00:00:00"/>
        <d v="2023-06-12T00:00:00"/>
        <d v="2023-01-24T00:00:00"/>
      </sharedItems>
    </cacheField>
    <cacheField name="Customer ID" numFmtId="0">
      <sharedItems containsBlank="1" count="43">
        <s v="CUST021"/>
        <s v="CUST029"/>
        <s v="CUST044"/>
        <s v="CUST027"/>
        <s v="CUST009"/>
        <s v="CUST042"/>
        <s v="CUST019"/>
        <s v="CUST013"/>
        <s v="CUST046"/>
        <s v="CUST045"/>
        <s v="CUST023"/>
        <s v="CUST033"/>
        <s v="CUST047"/>
        <s v="CUST011"/>
        <s v="CUST041"/>
        <s v="CUST025"/>
        <s v="CUST016"/>
        <s v="CUST028"/>
        <s v="CUST040"/>
        <s v="CUST018"/>
        <s v="CUST007"/>
        <s v="CUST008"/>
        <s v="CUST014"/>
        <s v="CUST037"/>
        <s v="CUST032"/>
        <s v="CUST024"/>
        <s v="CUST006"/>
        <s v="CUST001"/>
        <s v="CUST039"/>
        <s v="CUST026"/>
        <s v="CUST017"/>
        <s v="CUST003"/>
        <s v="CUST035"/>
        <s v="CUST022"/>
        <s v="CUST004"/>
        <s v="CUST048"/>
        <s v="CUST050"/>
        <s v="CUST015"/>
        <s v="CUST043"/>
        <s v="CUST031"/>
        <s v="CUST036"/>
        <s v="CUST034"/>
        <m/>
      </sharedItems>
    </cacheField>
    <cacheField name="Customer Name" numFmtId="0">
      <sharedItems containsBlank="1" count="31">
        <s v="Zoe Mitchell"/>
        <s v="Ava White"/>
        <s v="Grace Ward"/>
        <s v="Hazel Brooks"/>
        <s v="Jackson Allen"/>
        <s v="Noah Wilson"/>
        <s v="Ava Robinson"/>
        <s v="Olivia Martinez"/>
        <s v="Emily Johnson"/>
        <s v="Charlotte Reed"/>
        <s v="Hazel Rivera"/>
        <s v="Scarlett Murphy"/>
        <s v="Mason Hall"/>
        <s v="Jacob Price"/>
        <s v="Emma King"/>
        <s v="Elijah Lewis"/>
        <s v="Lily Bennett"/>
        <s v="Benjamin Clark"/>
        <s v="Grace Scott"/>
        <s v="Liam Walker"/>
        <s v="Harper Young"/>
        <s v="Luke Gray"/>
        <s v="James Miller"/>
        <s v="Logan Ramirez"/>
        <s v="Ethan Davis"/>
        <s v="Scarlett Adams"/>
        <e v="#N/A"/>
        <s v="Lily Reed"/>
        <s v="Mason Collins"/>
        <s v="Lily Simmons"/>
        <m/>
      </sharedItems>
    </cacheField>
    <cacheField name="Customer Type" numFmtId="0">
      <sharedItems containsBlank="1" count="5">
        <s v="Individual"/>
        <s v="Business"/>
        <s v="Prime"/>
        <e v="#N/A"/>
        <m/>
      </sharedItems>
    </cacheField>
    <cacheField name="State" numFmtId="0">
      <sharedItems containsBlank="1" count="9">
        <s v="Texas"/>
        <s v="Florida"/>
        <s v="Arizona"/>
        <s v="Washington"/>
        <s v="Illinois"/>
        <s v="California"/>
        <s v="New York"/>
        <e v="#N/A"/>
        <m/>
      </sharedItems>
    </cacheField>
    <cacheField name="City" numFmtId="0">
      <sharedItems containsBlank="1" count="10">
        <s v="Austin"/>
        <s v="Miami"/>
        <s v="Phoenix"/>
        <s v="Seattle"/>
        <s v="Chicago"/>
        <s v="San Francisco"/>
        <s v="Dallas"/>
        <s v="New York"/>
        <e v="#N/A"/>
        <m/>
      </sharedItems>
    </cacheField>
    <cacheField name="Product ID" numFmtId="0">
      <sharedItems containsBlank="1" count="23">
        <s v="PROD012"/>
        <s v="PROD018"/>
        <s v="PROD013"/>
        <s v="PROD010"/>
        <s v="PROD020"/>
        <s v="PROD021"/>
        <s v="PROD019"/>
        <s v="PROD003"/>
        <s v="PROD014"/>
        <s v="PROD006"/>
        <s v="PROD017"/>
        <s v="PROD005"/>
        <s v="PROD015"/>
        <s v="PROD008"/>
        <s v="PROD001"/>
        <s v="PROD002"/>
        <s v="PROD022"/>
        <s v="PROD009"/>
        <s v="PROD011"/>
        <s v="PROD016"/>
        <s v="PROD007"/>
        <s v="PROD004"/>
        <m/>
      </sharedItems>
    </cacheField>
    <cacheField name="Region" numFmtId="0">
      <sharedItems containsBlank="1" count="6">
        <s v="North"/>
        <s v="East"/>
        <s v="South"/>
        <s v="Central"/>
        <s v="West"/>
        <m/>
      </sharedItems>
    </cacheField>
    <cacheField name="Product Name " numFmtId="0">
      <sharedItems containsBlank="1" count="23">
        <s v="Lamp"/>
        <s v="Doll House"/>
        <s v="Vacuum Cleaner"/>
        <s v="Jeans"/>
        <s v="Bluetooth Speaker"/>
        <s v="Wall Clock"/>
        <s v="Formal Shirt"/>
        <s v="Cookware Set"/>
        <s v="Smartwatch"/>
        <s v="Shoes"/>
        <s v="Gaming Mouse"/>
        <s v="T-Shirt"/>
        <s v="Novel"/>
        <s v="Textbook"/>
        <s v="Smartphone"/>
        <s v="Action Figure"/>
        <s v="Backpack"/>
        <s v="Magazine"/>
        <s v="Headphones"/>
        <s v="Cookware Set Pro"/>
        <s v="Puzzle"/>
        <s v="Leg Set"/>
        <m/>
      </sharedItems>
    </cacheField>
    <cacheField name="Category" numFmtId="0">
      <sharedItems containsBlank="1" count="6">
        <s v="Home"/>
        <s v="Toys"/>
        <s v="Fashion"/>
        <s v="Electronics"/>
        <s v="Books"/>
        <m/>
      </sharedItems>
    </cacheField>
    <cacheField name="Cost Price/Unit" numFmtId="6">
      <sharedItems containsString="0" containsBlank="1" containsNumber="1" containsInteger="1" minValue="0" maxValue="749" count="22">
        <n v="42"/>
        <n v="89"/>
        <n v="185"/>
        <n v="55"/>
        <n v="99"/>
        <n v="34"/>
        <n v="40"/>
        <n v="129"/>
        <n v="229"/>
        <n v="69"/>
        <n v="25"/>
        <n v="20"/>
        <n v="65"/>
        <n v="749"/>
        <n v="39"/>
        <n v="60"/>
        <n v="10"/>
        <n v="159"/>
        <n v="199"/>
        <n v="29"/>
        <n v="59"/>
        <m/>
      </sharedItems>
    </cacheField>
    <cacheField name="Sale Price/Unit" numFmtId="6">
      <sharedItems containsString="0" containsBlank="1" containsNumber="1" containsInteger="1" minValue="0" maxValue="815" count="55">
        <n v="44"/>
        <n v="96"/>
        <n v="194"/>
        <n v="196"/>
        <n v="59"/>
        <n v="58"/>
        <n v="105"/>
        <n v="37"/>
        <n v="141"/>
        <n v="249"/>
        <n v="247"/>
        <n v="74"/>
        <n v="27"/>
        <n v="21"/>
        <n v="70"/>
        <n v="94"/>
        <n v="813"/>
        <n v="46"/>
        <n v="43"/>
        <n v="64"/>
        <n v="97"/>
        <n v="69"/>
        <n v="42"/>
        <n v="11"/>
        <n v="172"/>
        <n v="212"/>
        <n v="41"/>
        <n v="32"/>
        <n v="66"/>
        <n v="62"/>
        <n v="173"/>
        <n v="63"/>
        <n v="36"/>
        <n v="137"/>
        <n v="73"/>
        <n v="104"/>
        <n v="22"/>
        <n v="218"/>
        <n v="65"/>
        <n v="26"/>
        <n v="195"/>
        <n v="815"/>
        <n v="139"/>
        <n v="31"/>
        <n v="95"/>
        <n v="214"/>
        <n v="174"/>
        <n v="210"/>
        <n v="788"/>
        <n v="217"/>
        <n v="138"/>
        <n v="803"/>
        <n v="248"/>
        <n v="215"/>
        <m/>
      </sharedItems>
    </cacheField>
    <cacheField name="Quantity" numFmtId="0">
      <sharedItems containsString="0" containsBlank="1" containsNumber="1" containsInteger="1" minValue="0" maxValue="5" count="6">
        <n v="1"/>
        <n v="4"/>
        <n v="3"/>
        <n v="5"/>
        <n v="2"/>
        <m/>
      </sharedItems>
    </cacheField>
    <cacheField name="Total Amount" numFmtId="6">
      <sharedItems containsString="0" containsBlank="1" containsNumber="1" containsInteger="1" minValue="0" maxValue="3260" count="83">
        <n v="44"/>
        <n v="384"/>
        <n v="776"/>
        <n v="588"/>
        <n v="59"/>
        <n v="232"/>
        <n v="315"/>
        <n v="185"/>
        <n v="88"/>
        <n v="564"/>
        <n v="249"/>
        <n v="741"/>
        <n v="96"/>
        <n v="370"/>
        <n v="27"/>
        <n v="81"/>
        <n v="63"/>
        <n v="350"/>
        <n v="376"/>
        <n v="1626"/>
        <n v="84"/>
        <n v="230"/>
        <n v="174"/>
        <n v="480"/>
        <n v="43"/>
        <n v="256"/>
        <n v="140"/>
        <n v="291"/>
        <n v="111"/>
        <n v="345"/>
        <n v="210"/>
        <n v="55"/>
        <n v="54"/>
        <n v="21"/>
        <n v="172"/>
        <n v="636"/>
        <n v="164"/>
        <n v="64"/>
        <n v="132"/>
        <n v="248"/>
        <n v="692"/>
        <n v="189"/>
        <n v="108"/>
        <n v="62"/>
        <n v="685"/>
        <n v="292"/>
        <n v="104"/>
        <n v="97"/>
        <n v="365"/>
        <n v="37"/>
        <n v="22"/>
        <n v="1090"/>
        <n v="144"/>
        <n v="65"/>
        <n v="26"/>
        <n v="780"/>
        <n v="220"/>
        <n v="276"/>
        <n v="3260"/>
        <n v="695"/>
        <n v="207"/>
        <n v="42"/>
        <n v="124"/>
        <n v="312"/>
        <n v="116"/>
        <n v="190"/>
        <n v="1070"/>
        <n v="46"/>
        <n v="380"/>
        <n v="348"/>
        <n v="135"/>
        <n v="130"/>
        <n v="215"/>
        <n v="3152"/>
        <n v="1085"/>
        <n v="552"/>
        <n v="1606"/>
        <n v="1240"/>
        <n v="630"/>
        <n v="475"/>
        <n v="430"/>
        <n v="168"/>
        <m/>
      </sharedItems>
    </cacheField>
    <cacheField name="Payment Method" numFmtId="0">
      <sharedItems containsBlank="1" count="6">
        <s v="Apple Pay"/>
        <s v="Credit Card"/>
        <s v="PayPal"/>
        <s v="Amazon Pay"/>
        <s v="Debit Card"/>
        <m/>
      </sharedItems>
    </cacheField>
    <cacheField name="Delivery Status" numFmtId="0">
      <sharedItems containsBlank="1" count="4">
        <s v="Cancelled"/>
        <s v="Delivered"/>
        <s v="In Transit"/>
        <m/>
      </sharedItems>
    </cacheField>
    <cacheField name="Fulfillment Partner" numFmtId="0">
      <sharedItems containsBlank="1" count="6">
        <s v="DHL"/>
        <s v="USPS"/>
        <s v="UPS"/>
        <s v="Amazon Logistics"/>
        <s v="FedEx"/>
        <m/>
      </sharedItems>
    </cacheField>
    <cacheField name="Avg. Delivery Time" numFmtId="0">
      <sharedItems containsBlank="1" containsMixedTypes="1" containsNumber="1" containsInteger="1" count="9">
        <s v="Not Delivered"/>
        <n v="2"/>
        <n v="3"/>
        <n v="6"/>
        <n v="1"/>
        <n v="4"/>
        <n v="5"/>
        <n v="7"/>
        <m/>
      </sharedItems>
    </cacheField>
    <cacheField name="Delivery Performance" numFmtId="0">
      <sharedItems containsBlank="1" count="4">
        <s v="Cancelled Order"/>
        <s v="Fast"/>
        <s v="Slow"/>
        <m/>
      </sharedItems>
    </cacheField>
    <cacheField name="Target Sales" numFmtId="0">
      <sharedItems containsString="0" containsBlank="1" containsNumber="1" containsInteger="1" minValue="0" maxValue="105000" count="6">
        <n v="105000"/>
        <n v="50500"/>
        <n v="91500"/>
        <m/>
        <n v="97500"/>
        <n v="90750"/>
      </sharedItems>
    </cacheField>
    <cacheField name="Sales Achieved " numFmtId="0">
      <sharedItems containsString="0" containsBlank="1" containsNumber="1" containsInteger="1" minValue="0" maxValue="10491" count="6">
        <n v="10491"/>
        <n v="3635"/>
        <n v="7317"/>
        <m/>
        <n v="5456"/>
        <n v="8359"/>
      </sharedItems>
    </cacheField>
    <cacheField name="Total Cancelled Orders" numFmtId="0">
      <sharedItems containsString="0" containsBlank="1" containsNumber="1" containsInteger="1" minValue="0" maxValue="10" count="6">
        <n v="10"/>
        <n v="3"/>
        <n v="4"/>
        <m/>
        <n v="5"/>
        <n v="8"/>
      </sharedItems>
    </cacheField>
    <cacheField name="Total Fast delivery" numFmtId="0">
      <sharedItems containsString="0" containsBlank="1" containsNumber="1" containsInteger="1" minValue="0" maxValue="3" count="4">
        <n v="3"/>
        <n v="2"/>
        <m/>
        <n v="1"/>
      </sharedItems>
    </cacheField>
    <cacheField name="Total Slow Deliveries" numFmtId="0">
      <sharedItems containsString="0" containsBlank="1" containsNumber="1" containsInteger="1" minValue="0" maxValue="13" count="4">
        <n v="12"/>
        <n v="13"/>
        <m/>
        <n v="8"/>
      </sharedItems>
    </cacheField>
    <cacheField name="Fast Delivery percentage" numFmtId="0">
      <sharedItems containsString="0" containsBlank="1" containsNumber="1" minValue="0" maxValue="0.2" count="5">
        <n v="0.2"/>
        <n v="0.133333333333333"/>
        <n v="0.1875"/>
        <m/>
        <n v="0.11111111111111099"/>
      </sharedItems>
    </cacheField>
    <cacheField name="Cancelled Rate" numFmtId="0">
      <sharedItems containsString="0" containsBlank="1" containsNumber="1" minValue="0" maxValue="0.33333333333333298" count="6">
        <n v="0.33333333333333298"/>
        <n v="0.1"/>
        <n v="0.133333333333333"/>
        <m/>
        <n v="0.16666666666666699"/>
        <n v="0.2666666666666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</r>
  <r>
    <x v="1"/>
    <x v="1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x v="2"/>
    <x v="2"/>
    <x v="2"/>
    <x v="0"/>
    <x v="1"/>
    <x v="0"/>
    <x v="0"/>
    <x v="0"/>
    <x v="0"/>
    <x v="0"/>
    <x v="2"/>
    <x v="2"/>
    <x v="2"/>
    <x v="0"/>
    <x v="2"/>
    <x v="2"/>
    <x v="1"/>
    <x v="2"/>
    <x v="1"/>
    <x v="2"/>
    <x v="1"/>
    <x v="0"/>
    <x v="2"/>
    <x v="2"/>
    <x v="2"/>
    <x v="2"/>
    <x v="0"/>
    <x v="1"/>
    <x v="2"/>
    <x v="2"/>
  </r>
  <r>
    <x v="3"/>
    <x v="3"/>
    <x v="3"/>
    <x v="0"/>
    <x v="2"/>
    <x v="2"/>
    <x v="2"/>
    <x v="1"/>
    <x v="2"/>
    <x v="2"/>
    <x v="2"/>
    <x v="0"/>
    <x v="2"/>
    <x v="0"/>
    <x v="2"/>
    <x v="3"/>
    <x v="2"/>
    <x v="3"/>
    <x v="2"/>
    <x v="0"/>
    <x v="2"/>
    <x v="0"/>
    <x v="0"/>
    <x v="3"/>
    <x v="3"/>
    <x v="3"/>
    <x v="2"/>
    <x v="2"/>
    <x v="3"/>
    <x v="3"/>
  </r>
  <r>
    <x v="4"/>
    <x v="4"/>
    <x v="1"/>
    <x v="2"/>
    <x v="1"/>
    <x v="3"/>
    <x v="3"/>
    <x v="0"/>
    <x v="3"/>
    <x v="3"/>
    <x v="3"/>
    <x v="0"/>
    <x v="3"/>
    <x v="2"/>
    <x v="3"/>
    <x v="4"/>
    <x v="0"/>
    <x v="4"/>
    <x v="2"/>
    <x v="1"/>
    <x v="3"/>
    <x v="2"/>
    <x v="2"/>
    <x v="3"/>
    <x v="3"/>
    <x v="3"/>
    <x v="2"/>
    <x v="2"/>
    <x v="3"/>
    <x v="3"/>
  </r>
  <r>
    <x v="5"/>
    <x v="5"/>
    <x v="4"/>
    <x v="0"/>
    <x v="3"/>
    <x v="4"/>
    <x v="4"/>
    <x v="1"/>
    <x v="3"/>
    <x v="3"/>
    <x v="3"/>
    <x v="0"/>
    <x v="3"/>
    <x v="2"/>
    <x v="3"/>
    <x v="5"/>
    <x v="1"/>
    <x v="5"/>
    <x v="3"/>
    <x v="0"/>
    <x v="0"/>
    <x v="0"/>
    <x v="0"/>
    <x v="3"/>
    <x v="3"/>
    <x v="3"/>
    <x v="2"/>
    <x v="2"/>
    <x v="3"/>
    <x v="3"/>
  </r>
  <r>
    <x v="6"/>
    <x v="6"/>
    <x v="5"/>
    <x v="0"/>
    <x v="4"/>
    <x v="5"/>
    <x v="5"/>
    <x v="2"/>
    <x v="0"/>
    <x v="0"/>
    <x v="4"/>
    <x v="3"/>
    <x v="4"/>
    <x v="3"/>
    <x v="4"/>
    <x v="6"/>
    <x v="2"/>
    <x v="6"/>
    <x v="4"/>
    <x v="0"/>
    <x v="0"/>
    <x v="0"/>
    <x v="0"/>
    <x v="4"/>
    <x v="4"/>
    <x v="4"/>
    <x v="3"/>
    <x v="3"/>
    <x v="4"/>
    <x v="4"/>
  </r>
  <r>
    <x v="7"/>
    <x v="7"/>
    <x v="6"/>
    <x v="0"/>
    <x v="5"/>
    <x v="6"/>
    <x v="6"/>
    <x v="2"/>
    <x v="3"/>
    <x v="3"/>
    <x v="5"/>
    <x v="4"/>
    <x v="5"/>
    <x v="0"/>
    <x v="5"/>
    <x v="7"/>
    <x v="3"/>
    <x v="7"/>
    <x v="2"/>
    <x v="0"/>
    <x v="0"/>
    <x v="0"/>
    <x v="0"/>
    <x v="5"/>
    <x v="5"/>
    <x v="5"/>
    <x v="1"/>
    <x v="1"/>
    <x v="1"/>
    <x v="5"/>
  </r>
  <r>
    <x v="8"/>
    <x v="8"/>
    <x v="7"/>
    <x v="0"/>
    <x v="1"/>
    <x v="7"/>
    <x v="7"/>
    <x v="2"/>
    <x v="3"/>
    <x v="3"/>
    <x v="6"/>
    <x v="3"/>
    <x v="6"/>
    <x v="2"/>
    <x v="6"/>
    <x v="0"/>
    <x v="4"/>
    <x v="8"/>
    <x v="1"/>
    <x v="2"/>
    <x v="3"/>
    <x v="0"/>
    <x v="2"/>
    <x v="3"/>
    <x v="3"/>
    <x v="3"/>
    <x v="2"/>
    <x v="2"/>
    <x v="3"/>
    <x v="3"/>
  </r>
  <r>
    <x v="9"/>
    <x v="9"/>
    <x v="0"/>
    <x v="0"/>
    <x v="1"/>
    <x v="6"/>
    <x v="6"/>
    <x v="2"/>
    <x v="3"/>
    <x v="3"/>
    <x v="7"/>
    <x v="2"/>
    <x v="7"/>
    <x v="0"/>
    <x v="7"/>
    <x v="8"/>
    <x v="1"/>
    <x v="9"/>
    <x v="4"/>
    <x v="2"/>
    <x v="0"/>
    <x v="0"/>
    <x v="2"/>
    <x v="3"/>
    <x v="3"/>
    <x v="3"/>
    <x v="2"/>
    <x v="2"/>
    <x v="3"/>
    <x v="3"/>
  </r>
  <r>
    <x v="10"/>
    <x v="10"/>
    <x v="3"/>
    <x v="0"/>
    <x v="6"/>
    <x v="8"/>
    <x v="8"/>
    <x v="2"/>
    <x v="4"/>
    <x v="4"/>
    <x v="8"/>
    <x v="2"/>
    <x v="8"/>
    <x v="3"/>
    <x v="8"/>
    <x v="9"/>
    <x v="0"/>
    <x v="10"/>
    <x v="3"/>
    <x v="0"/>
    <x v="1"/>
    <x v="0"/>
    <x v="0"/>
    <x v="3"/>
    <x v="3"/>
    <x v="3"/>
    <x v="2"/>
    <x v="2"/>
    <x v="3"/>
    <x v="3"/>
  </r>
  <r>
    <x v="11"/>
    <x v="11"/>
    <x v="7"/>
    <x v="0"/>
    <x v="1"/>
    <x v="9"/>
    <x v="8"/>
    <x v="0"/>
    <x v="0"/>
    <x v="0"/>
    <x v="8"/>
    <x v="3"/>
    <x v="8"/>
    <x v="3"/>
    <x v="8"/>
    <x v="10"/>
    <x v="2"/>
    <x v="11"/>
    <x v="3"/>
    <x v="2"/>
    <x v="4"/>
    <x v="0"/>
    <x v="2"/>
    <x v="3"/>
    <x v="3"/>
    <x v="3"/>
    <x v="2"/>
    <x v="2"/>
    <x v="3"/>
    <x v="3"/>
  </r>
  <r>
    <x v="12"/>
    <x v="12"/>
    <x v="1"/>
    <x v="0"/>
    <x v="7"/>
    <x v="10"/>
    <x v="9"/>
    <x v="0"/>
    <x v="0"/>
    <x v="0"/>
    <x v="9"/>
    <x v="3"/>
    <x v="9"/>
    <x v="2"/>
    <x v="1"/>
    <x v="1"/>
    <x v="0"/>
    <x v="12"/>
    <x v="0"/>
    <x v="0"/>
    <x v="3"/>
    <x v="0"/>
    <x v="0"/>
    <x v="3"/>
    <x v="3"/>
    <x v="3"/>
    <x v="2"/>
    <x v="2"/>
    <x v="3"/>
    <x v="3"/>
  </r>
  <r>
    <x v="13"/>
    <x v="13"/>
    <x v="1"/>
    <x v="0"/>
    <x v="8"/>
    <x v="11"/>
    <x v="10"/>
    <x v="1"/>
    <x v="2"/>
    <x v="2"/>
    <x v="10"/>
    <x v="4"/>
    <x v="10"/>
    <x v="3"/>
    <x v="9"/>
    <x v="11"/>
    <x v="3"/>
    <x v="13"/>
    <x v="0"/>
    <x v="0"/>
    <x v="3"/>
    <x v="0"/>
    <x v="0"/>
    <x v="3"/>
    <x v="3"/>
    <x v="3"/>
    <x v="2"/>
    <x v="2"/>
    <x v="3"/>
    <x v="3"/>
  </r>
  <r>
    <x v="14"/>
    <x v="14"/>
    <x v="5"/>
    <x v="0"/>
    <x v="9"/>
    <x v="11"/>
    <x v="10"/>
    <x v="1"/>
    <x v="2"/>
    <x v="2"/>
    <x v="11"/>
    <x v="2"/>
    <x v="11"/>
    <x v="2"/>
    <x v="10"/>
    <x v="12"/>
    <x v="0"/>
    <x v="14"/>
    <x v="1"/>
    <x v="0"/>
    <x v="3"/>
    <x v="0"/>
    <x v="0"/>
    <x v="3"/>
    <x v="3"/>
    <x v="3"/>
    <x v="2"/>
    <x v="2"/>
    <x v="3"/>
    <x v="3"/>
  </r>
  <r>
    <x v="15"/>
    <x v="15"/>
    <x v="1"/>
    <x v="0"/>
    <x v="1"/>
    <x v="12"/>
    <x v="11"/>
    <x v="0"/>
    <x v="4"/>
    <x v="4"/>
    <x v="11"/>
    <x v="2"/>
    <x v="11"/>
    <x v="2"/>
    <x v="10"/>
    <x v="12"/>
    <x v="2"/>
    <x v="15"/>
    <x v="4"/>
    <x v="2"/>
    <x v="3"/>
    <x v="0"/>
    <x v="2"/>
    <x v="3"/>
    <x v="3"/>
    <x v="3"/>
    <x v="2"/>
    <x v="2"/>
    <x v="3"/>
    <x v="3"/>
  </r>
  <r>
    <x v="16"/>
    <x v="16"/>
    <x v="8"/>
    <x v="3"/>
    <x v="1"/>
    <x v="9"/>
    <x v="8"/>
    <x v="0"/>
    <x v="0"/>
    <x v="0"/>
    <x v="12"/>
    <x v="1"/>
    <x v="12"/>
    <x v="4"/>
    <x v="11"/>
    <x v="13"/>
    <x v="2"/>
    <x v="16"/>
    <x v="1"/>
    <x v="1"/>
    <x v="0"/>
    <x v="2"/>
    <x v="2"/>
    <x v="3"/>
    <x v="3"/>
    <x v="3"/>
    <x v="2"/>
    <x v="2"/>
    <x v="3"/>
    <x v="3"/>
  </r>
  <r>
    <x v="17"/>
    <x v="17"/>
    <x v="4"/>
    <x v="0"/>
    <x v="1"/>
    <x v="13"/>
    <x v="12"/>
    <x v="1"/>
    <x v="1"/>
    <x v="1"/>
    <x v="13"/>
    <x v="4"/>
    <x v="13"/>
    <x v="4"/>
    <x v="12"/>
    <x v="14"/>
    <x v="3"/>
    <x v="17"/>
    <x v="2"/>
    <x v="2"/>
    <x v="3"/>
    <x v="0"/>
    <x v="2"/>
    <x v="3"/>
    <x v="3"/>
    <x v="3"/>
    <x v="2"/>
    <x v="2"/>
    <x v="3"/>
    <x v="3"/>
  </r>
  <r>
    <x v="18"/>
    <x v="18"/>
    <x v="5"/>
    <x v="0"/>
    <x v="1"/>
    <x v="14"/>
    <x v="13"/>
    <x v="1"/>
    <x v="0"/>
    <x v="0"/>
    <x v="9"/>
    <x v="2"/>
    <x v="9"/>
    <x v="2"/>
    <x v="1"/>
    <x v="15"/>
    <x v="1"/>
    <x v="18"/>
    <x v="1"/>
    <x v="2"/>
    <x v="1"/>
    <x v="0"/>
    <x v="2"/>
    <x v="3"/>
    <x v="3"/>
    <x v="3"/>
    <x v="2"/>
    <x v="2"/>
    <x v="3"/>
    <x v="3"/>
  </r>
  <r>
    <x v="19"/>
    <x v="19"/>
    <x v="6"/>
    <x v="0"/>
    <x v="1"/>
    <x v="15"/>
    <x v="14"/>
    <x v="0"/>
    <x v="1"/>
    <x v="1"/>
    <x v="14"/>
    <x v="0"/>
    <x v="14"/>
    <x v="3"/>
    <x v="13"/>
    <x v="16"/>
    <x v="4"/>
    <x v="19"/>
    <x v="1"/>
    <x v="2"/>
    <x v="4"/>
    <x v="0"/>
    <x v="2"/>
    <x v="3"/>
    <x v="3"/>
    <x v="3"/>
    <x v="2"/>
    <x v="2"/>
    <x v="3"/>
    <x v="3"/>
  </r>
  <r>
    <x v="20"/>
    <x v="20"/>
    <x v="2"/>
    <x v="0"/>
    <x v="1"/>
    <x v="7"/>
    <x v="7"/>
    <x v="2"/>
    <x v="3"/>
    <x v="3"/>
    <x v="12"/>
    <x v="3"/>
    <x v="12"/>
    <x v="4"/>
    <x v="11"/>
    <x v="13"/>
    <x v="1"/>
    <x v="20"/>
    <x v="2"/>
    <x v="2"/>
    <x v="3"/>
    <x v="0"/>
    <x v="2"/>
    <x v="3"/>
    <x v="3"/>
    <x v="3"/>
    <x v="2"/>
    <x v="2"/>
    <x v="3"/>
    <x v="3"/>
  </r>
  <r>
    <x v="21"/>
    <x v="21"/>
    <x v="4"/>
    <x v="0"/>
    <x v="1"/>
    <x v="10"/>
    <x v="9"/>
    <x v="0"/>
    <x v="0"/>
    <x v="0"/>
    <x v="0"/>
    <x v="4"/>
    <x v="0"/>
    <x v="0"/>
    <x v="0"/>
    <x v="17"/>
    <x v="3"/>
    <x v="21"/>
    <x v="2"/>
    <x v="2"/>
    <x v="1"/>
    <x v="0"/>
    <x v="2"/>
    <x v="3"/>
    <x v="3"/>
    <x v="3"/>
    <x v="2"/>
    <x v="2"/>
    <x v="3"/>
    <x v="3"/>
  </r>
  <r>
    <x v="22"/>
    <x v="15"/>
    <x v="1"/>
    <x v="0"/>
    <x v="10"/>
    <x v="16"/>
    <x v="15"/>
    <x v="2"/>
    <x v="2"/>
    <x v="2"/>
    <x v="3"/>
    <x v="4"/>
    <x v="3"/>
    <x v="2"/>
    <x v="3"/>
    <x v="5"/>
    <x v="2"/>
    <x v="22"/>
    <x v="3"/>
    <x v="0"/>
    <x v="3"/>
    <x v="0"/>
    <x v="0"/>
    <x v="3"/>
    <x v="3"/>
    <x v="3"/>
    <x v="2"/>
    <x v="2"/>
    <x v="3"/>
    <x v="3"/>
  </r>
  <r>
    <x v="23"/>
    <x v="22"/>
    <x v="4"/>
    <x v="4"/>
    <x v="1"/>
    <x v="17"/>
    <x v="16"/>
    <x v="1"/>
    <x v="0"/>
    <x v="0"/>
    <x v="9"/>
    <x v="4"/>
    <x v="9"/>
    <x v="2"/>
    <x v="1"/>
    <x v="1"/>
    <x v="3"/>
    <x v="23"/>
    <x v="3"/>
    <x v="1"/>
    <x v="3"/>
    <x v="2"/>
    <x v="2"/>
    <x v="3"/>
    <x v="3"/>
    <x v="3"/>
    <x v="2"/>
    <x v="2"/>
    <x v="3"/>
    <x v="3"/>
  </r>
  <r>
    <x v="24"/>
    <x v="23"/>
    <x v="3"/>
    <x v="5"/>
    <x v="1"/>
    <x v="18"/>
    <x v="17"/>
    <x v="2"/>
    <x v="0"/>
    <x v="0"/>
    <x v="15"/>
    <x v="2"/>
    <x v="15"/>
    <x v="1"/>
    <x v="14"/>
    <x v="18"/>
    <x v="0"/>
    <x v="24"/>
    <x v="4"/>
    <x v="1"/>
    <x v="3"/>
    <x v="1"/>
    <x v="1"/>
    <x v="3"/>
    <x v="3"/>
    <x v="3"/>
    <x v="2"/>
    <x v="2"/>
    <x v="3"/>
    <x v="3"/>
  </r>
  <r>
    <x v="25"/>
    <x v="24"/>
    <x v="2"/>
    <x v="6"/>
    <x v="1"/>
    <x v="3"/>
    <x v="3"/>
    <x v="0"/>
    <x v="3"/>
    <x v="3"/>
    <x v="16"/>
    <x v="2"/>
    <x v="16"/>
    <x v="2"/>
    <x v="15"/>
    <x v="19"/>
    <x v="1"/>
    <x v="25"/>
    <x v="4"/>
    <x v="1"/>
    <x v="1"/>
    <x v="3"/>
    <x v="2"/>
    <x v="3"/>
    <x v="3"/>
    <x v="3"/>
    <x v="2"/>
    <x v="2"/>
    <x v="3"/>
    <x v="3"/>
  </r>
  <r>
    <x v="26"/>
    <x v="25"/>
    <x v="9"/>
    <x v="0"/>
    <x v="1"/>
    <x v="19"/>
    <x v="18"/>
    <x v="0"/>
    <x v="1"/>
    <x v="1"/>
    <x v="13"/>
    <x v="2"/>
    <x v="13"/>
    <x v="4"/>
    <x v="12"/>
    <x v="14"/>
    <x v="4"/>
    <x v="26"/>
    <x v="3"/>
    <x v="2"/>
    <x v="3"/>
    <x v="0"/>
    <x v="2"/>
    <x v="3"/>
    <x v="3"/>
    <x v="3"/>
    <x v="2"/>
    <x v="2"/>
    <x v="3"/>
    <x v="3"/>
  </r>
  <r>
    <x v="27"/>
    <x v="26"/>
    <x v="2"/>
    <x v="0"/>
    <x v="1"/>
    <x v="19"/>
    <x v="18"/>
    <x v="0"/>
    <x v="1"/>
    <x v="1"/>
    <x v="1"/>
    <x v="3"/>
    <x v="1"/>
    <x v="1"/>
    <x v="1"/>
    <x v="20"/>
    <x v="2"/>
    <x v="27"/>
    <x v="1"/>
    <x v="2"/>
    <x v="3"/>
    <x v="0"/>
    <x v="2"/>
    <x v="3"/>
    <x v="3"/>
    <x v="3"/>
    <x v="2"/>
    <x v="2"/>
    <x v="3"/>
    <x v="3"/>
  </r>
  <r>
    <x v="28"/>
    <x v="27"/>
    <x v="2"/>
    <x v="0"/>
    <x v="11"/>
    <x v="20"/>
    <x v="19"/>
    <x v="2"/>
    <x v="5"/>
    <x v="5"/>
    <x v="5"/>
    <x v="1"/>
    <x v="5"/>
    <x v="0"/>
    <x v="5"/>
    <x v="7"/>
    <x v="2"/>
    <x v="28"/>
    <x v="0"/>
    <x v="0"/>
    <x v="0"/>
    <x v="0"/>
    <x v="0"/>
    <x v="3"/>
    <x v="3"/>
    <x v="3"/>
    <x v="2"/>
    <x v="2"/>
    <x v="3"/>
    <x v="3"/>
  </r>
  <r>
    <x v="29"/>
    <x v="28"/>
    <x v="1"/>
    <x v="0"/>
    <x v="1"/>
    <x v="21"/>
    <x v="20"/>
    <x v="1"/>
    <x v="0"/>
    <x v="6"/>
    <x v="13"/>
    <x v="0"/>
    <x v="13"/>
    <x v="4"/>
    <x v="12"/>
    <x v="21"/>
    <x v="3"/>
    <x v="29"/>
    <x v="3"/>
    <x v="2"/>
    <x v="3"/>
    <x v="0"/>
    <x v="2"/>
    <x v="3"/>
    <x v="3"/>
    <x v="3"/>
    <x v="2"/>
    <x v="2"/>
    <x v="3"/>
    <x v="3"/>
  </r>
  <r>
    <x v="30"/>
    <x v="29"/>
    <x v="10"/>
    <x v="0"/>
    <x v="1"/>
    <x v="22"/>
    <x v="20"/>
    <x v="0"/>
    <x v="4"/>
    <x v="4"/>
    <x v="15"/>
    <x v="0"/>
    <x v="15"/>
    <x v="1"/>
    <x v="14"/>
    <x v="22"/>
    <x v="3"/>
    <x v="30"/>
    <x v="3"/>
    <x v="2"/>
    <x v="2"/>
    <x v="0"/>
    <x v="2"/>
    <x v="3"/>
    <x v="3"/>
    <x v="3"/>
    <x v="2"/>
    <x v="2"/>
    <x v="3"/>
    <x v="3"/>
  </r>
  <r>
    <x v="31"/>
    <x v="30"/>
    <x v="8"/>
    <x v="0"/>
    <x v="12"/>
    <x v="23"/>
    <x v="8"/>
    <x v="0"/>
    <x v="1"/>
    <x v="1"/>
    <x v="17"/>
    <x v="1"/>
    <x v="17"/>
    <x v="4"/>
    <x v="16"/>
    <x v="23"/>
    <x v="3"/>
    <x v="31"/>
    <x v="4"/>
    <x v="0"/>
    <x v="4"/>
    <x v="0"/>
    <x v="0"/>
    <x v="3"/>
    <x v="3"/>
    <x v="3"/>
    <x v="2"/>
    <x v="2"/>
    <x v="3"/>
    <x v="3"/>
  </r>
  <r>
    <x v="32"/>
    <x v="31"/>
    <x v="3"/>
    <x v="7"/>
    <x v="1"/>
    <x v="16"/>
    <x v="15"/>
    <x v="2"/>
    <x v="2"/>
    <x v="2"/>
    <x v="11"/>
    <x v="2"/>
    <x v="11"/>
    <x v="2"/>
    <x v="10"/>
    <x v="12"/>
    <x v="4"/>
    <x v="32"/>
    <x v="0"/>
    <x v="1"/>
    <x v="1"/>
    <x v="4"/>
    <x v="1"/>
    <x v="3"/>
    <x v="3"/>
    <x v="3"/>
    <x v="2"/>
    <x v="2"/>
    <x v="3"/>
    <x v="3"/>
  </r>
  <r>
    <x v="33"/>
    <x v="32"/>
    <x v="4"/>
    <x v="0"/>
    <x v="1"/>
    <x v="15"/>
    <x v="14"/>
    <x v="0"/>
    <x v="1"/>
    <x v="1"/>
    <x v="12"/>
    <x v="2"/>
    <x v="12"/>
    <x v="4"/>
    <x v="11"/>
    <x v="13"/>
    <x v="0"/>
    <x v="33"/>
    <x v="3"/>
    <x v="2"/>
    <x v="0"/>
    <x v="0"/>
    <x v="2"/>
    <x v="3"/>
    <x v="3"/>
    <x v="3"/>
    <x v="2"/>
    <x v="2"/>
    <x v="3"/>
    <x v="3"/>
  </r>
  <r>
    <x v="34"/>
    <x v="33"/>
    <x v="0"/>
    <x v="8"/>
    <x v="1"/>
    <x v="24"/>
    <x v="21"/>
    <x v="1"/>
    <x v="0"/>
    <x v="0"/>
    <x v="18"/>
    <x v="2"/>
    <x v="18"/>
    <x v="3"/>
    <x v="17"/>
    <x v="24"/>
    <x v="0"/>
    <x v="34"/>
    <x v="2"/>
    <x v="1"/>
    <x v="1"/>
    <x v="5"/>
    <x v="2"/>
    <x v="3"/>
    <x v="3"/>
    <x v="3"/>
    <x v="2"/>
    <x v="2"/>
    <x v="3"/>
    <x v="3"/>
  </r>
  <r>
    <x v="35"/>
    <x v="34"/>
    <x v="7"/>
    <x v="0"/>
    <x v="1"/>
    <x v="22"/>
    <x v="20"/>
    <x v="0"/>
    <x v="4"/>
    <x v="4"/>
    <x v="19"/>
    <x v="0"/>
    <x v="19"/>
    <x v="0"/>
    <x v="18"/>
    <x v="25"/>
    <x v="2"/>
    <x v="35"/>
    <x v="3"/>
    <x v="2"/>
    <x v="2"/>
    <x v="0"/>
    <x v="2"/>
    <x v="3"/>
    <x v="3"/>
    <x v="3"/>
    <x v="2"/>
    <x v="2"/>
    <x v="3"/>
    <x v="3"/>
  </r>
  <r>
    <x v="36"/>
    <x v="35"/>
    <x v="2"/>
    <x v="9"/>
    <x v="1"/>
    <x v="2"/>
    <x v="2"/>
    <x v="1"/>
    <x v="2"/>
    <x v="2"/>
    <x v="15"/>
    <x v="1"/>
    <x v="15"/>
    <x v="1"/>
    <x v="14"/>
    <x v="26"/>
    <x v="1"/>
    <x v="36"/>
    <x v="1"/>
    <x v="1"/>
    <x v="3"/>
    <x v="6"/>
    <x v="2"/>
    <x v="3"/>
    <x v="3"/>
    <x v="3"/>
    <x v="2"/>
    <x v="2"/>
    <x v="3"/>
    <x v="3"/>
  </r>
  <r>
    <x v="37"/>
    <x v="36"/>
    <x v="5"/>
    <x v="0"/>
    <x v="13"/>
    <x v="17"/>
    <x v="16"/>
    <x v="1"/>
    <x v="0"/>
    <x v="0"/>
    <x v="20"/>
    <x v="0"/>
    <x v="20"/>
    <x v="1"/>
    <x v="19"/>
    <x v="27"/>
    <x v="4"/>
    <x v="37"/>
    <x v="4"/>
    <x v="0"/>
    <x v="4"/>
    <x v="0"/>
    <x v="0"/>
    <x v="3"/>
    <x v="3"/>
    <x v="3"/>
    <x v="2"/>
    <x v="2"/>
    <x v="3"/>
    <x v="3"/>
  </r>
  <r>
    <x v="38"/>
    <x v="37"/>
    <x v="0"/>
    <x v="0"/>
    <x v="1"/>
    <x v="25"/>
    <x v="11"/>
    <x v="1"/>
    <x v="1"/>
    <x v="1"/>
    <x v="16"/>
    <x v="1"/>
    <x v="16"/>
    <x v="2"/>
    <x v="15"/>
    <x v="28"/>
    <x v="4"/>
    <x v="38"/>
    <x v="0"/>
    <x v="2"/>
    <x v="0"/>
    <x v="0"/>
    <x v="2"/>
    <x v="3"/>
    <x v="3"/>
    <x v="3"/>
    <x v="2"/>
    <x v="2"/>
    <x v="3"/>
    <x v="3"/>
  </r>
  <r>
    <x v="39"/>
    <x v="38"/>
    <x v="0"/>
    <x v="0"/>
    <x v="1"/>
    <x v="26"/>
    <x v="6"/>
    <x v="2"/>
    <x v="4"/>
    <x v="4"/>
    <x v="21"/>
    <x v="1"/>
    <x v="21"/>
    <x v="1"/>
    <x v="20"/>
    <x v="29"/>
    <x v="1"/>
    <x v="39"/>
    <x v="4"/>
    <x v="2"/>
    <x v="2"/>
    <x v="0"/>
    <x v="2"/>
    <x v="3"/>
    <x v="3"/>
    <x v="3"/>
    <x v="2"/>
    <x v="2"/>
    <x v="3"/>
    <x v="3"/>
  </r>
  <r>
    <x v="40"/>
    <x v="39"/>
    <x v="11"/>
    <x v="10"/>
    <x v="1"/>
    <x v="27"/>
    <x v="22"/>
    <x v="1"/>
    <x v="6"/>
    <x v="7"/>
    <x v="18"/>
    <x v="4"/>
    <x v="18"/>
    <x v="3"/>
    <x v="17"/>
    <x v="30"/>
    <x v="1"/>
    <x v="40"/>
    <x v="0"/>
    <x v="1"/>
    <x v="2"/>
    <x v="7"/>
    <x v="2"/>
    <x v="3"/>
    <x v="3"/>
    <x v="3"/>
    <x v="2"/>
    <x v="2"/>
    <x v="3"/>
    <x v="3"/>
  </r>
  <r>
    <x v="41"/>
    <x v="40"/>
    <x v="7"/>
    <x v="11"/>
    <x v="1"/>
    <x v="20"/>
    <x v="19"/>
    <x v="2"/>
    <x v="5"/>
    <x v="5"/>
    <x v="21"/>
    <x v="4"/>
    <x v="21"/>
    <x v="1"/>
    <x v="20"/>
    <x v="31"/>
    <x v="2"/>
    <x v="41"/>
    <x v="0"/>
    <x v="1"/>
    <x v="2"/>
    <x v="1"/>
    <x v="1"/>
    <x v="3"/>
    <x v="3"/>
    <x v="3"/>
    <x v="2"/>
    <x v="2"/>
    <x v="3"/>
    <x v="3"/>
  </r>
  <r>
    <x v="42"/>
    <x v="41"/>
    <x v="1"/>
    <x v="0"/>
    <x v="14"/>
    <x v="18"/>
    <x v="17"/>
    <x v="2"/>
    <x v="0"/>
    <x v="0"/>
    <x v="5"/>
    <x v="4"/>
    <x v="5"/>
    <x v="0"/>
    <x v="5"/>
    <x v="32"/>
    <x v="2"/>
    <x v="42"/>
    <x v="4"/>
    <x v="0"/>
    <x v="1"/>
    <x v="0"/>
    <x v="0"/>
    <x v="3"/>
    <x v="3"/>
    <x v="3"/>
    <x v="2"/>
    <x v="2"/>
    <x v="3"/>
    <x v="3"/>
  </r>
  <r>
    <x v="43"/>
    <x v="42"/>
    <x v="0"/>
    <x v="0"/>
    <x v="15"/>
    <x v="26"/>
    <x v="6"/>
    <x v="2"/>
    <x v="4"/>
    <x v="4"/>
    <x v="21"/>
    <x v="3"/>
    <x v="21"/>
    <x v="1"/>
    <x v="20"/>
    <x v="29"/>
    <x v="0"/>
    <x v="43"/>
    <x v="0"/>
    <x v="0"/>
    <x v="3"/>
    <x v="0"/>
    <x v="0"/>
    <x v="3"/>
    <x v="3"/>
    <x v="3"/>
    <x v="2"/>
    <x v="2"/>
    <x v="3"/>
    <x v="3"/>
  </r>
  <r>
    <x v="44"/>
    <x v="43"/>
    <x v="8"/>
    <x v="0"/>
    <x v="16"/>
    <x v="5"/>
    <x v="5"/>
    <x v="2"/>
    <x v="0"/>
    <x v="0"/>
    <x v="7"/>
    <x v="3"/>
    <x v="7"/>
    <x v="0"/>
    <x v="7"/>
    <x v="33"/>
    <x v="3"/>
    <x v="44"/>
    <x v="3"/>
    <x v="0"/>
    <x v="4"/>
    <x v="0"/>
    <x v="0"/>
    <x v="3"/>
    <x v="3"/>
    <x v="3"/>
    <x v="2"/>
    <x v="2"/>
    <x v="3"/>
    <x v="3"/>
  </r>
  <r>
    <x v="45"/>
    <x v="44"/>
    <x v="0"/>
    <x v="12"/>
    <x v="1"/>
    <x v="28"/>
    <x v="23"/>
    <x v="0"/>
    <x v="0"/>
    <x v="0"/>
    <x v="10"/>
    <x v="0"/>
    <x v="10"/>
    <x v="3"/>
    <x v="9"/>
    <x v="34"/>
    <x v="1"/>
    <x v="45"/>
    <x v="1"/>
    <x v="1"/>
    <x v="3"/>
    <x v="5"/>
    <x v="2"/>
    <x v="3"/>
    <x v="3"/>
    <x v="3"/>
    <x v="2"/>
    <x v="2"/>
    <x v="3"/>
    <x v="3"/>
  </r>
  <r>
    <x v="46"/>
    <x v="45"/>
    <x v="7"/>
    <x v="13"/>
    <x v="1"/>
    <x v="14"/>
    <x v="13"/>
    <x v="1"/>
    <x v="0"/>
    <x v="0"/>
    <x v="4"/>
    <x v="0"/>
    <x v="4"/>
    <x v="3"/>
    <x v="4"/>
    <x v="35"/>
    <x v="0"/>
    <x v="46"/>
    <x v="2"/>
    <x v="1"/>
    <x v="3"/>
    <x v="1"/>
    <x v="1"/>
    <x v="3"/>
    <x v="3"/>
    <x v="3"/>
    <x v="2"/>
    <x v="2"/>
    <x v="3"/>
    <x v="3"/>
  </r>
  <r>
    <x v="47"/>
    <x v="46"/>
    <x v="2"/>
    <x v="14"/>
    <x v="1"/>
    <x v="2"/>
    <x v="2"/>
    <x v="1"/>
    <x v="2"/>
    <x v="2"/>
    <x v="9"/>
    <x v="1"/>
    <x v="9"/>
    <x v="2"/>
    <x v="1"/>
    <x v="20"/>
    <x v="0"/>
    <x v="47"/>
    <x v="3"/>
    <x v="1"/>
    <x v="4"/>
    <x v="6"/>
    <x v="2"/>
    <x v="3"/>
    <x v="3"/>
    <x v="3"/>
    <x v="2"/>
    <x v="2"/>
    <x v="3"/>
    <x v="3"/>
  </r>
  <r>
    <x v="48"/>
    <x v="47"/>
    <x v="3"/>
    <x v="0"/>
    <x v="1"/>
    <x v="29"/>
    <x v="0"/>
    <x v="0"/>
    <x v="3"/>
    <x v="3"/>
    <x v="10"/>
    <x v="2"/>
    <x v="10"/>
    <x v="3"/>
    <x v="9"/>
    <x v="34"/>
    <x v="3"/>
    <x v="48"/>
    <x v="0"/>
    <x v="2"/>
    <x v="3"/>
    <x v="0"/>
    <x v="2"/>
    <x v="3"/>
    <x v="3"/>
    <x v="3"/>
    <x v="2"/>
    <x v="2"/>
    <x v="3"/>
    <x v="3"/>
  </r>
  <r>
    <x v="49"/>
    <x v="48"/>
    <x v="1"/>
    <x v="15"/>
    <x v="1"/>
    <x v="18"/>
    <x v="17"/>
    <x v="2"/>
    <x v="0"/>
    <x v="0"/>
    <x v="11"/>
    <x v="1"/>
    <x v="11"/>
    <x v="2"/>
    <x v="10"/>
    <x v="12"/>
    <x v="2"/>
    <x v="15"/>
    <x v="3"/>
    <x v="1"/>
    <x v="2"/>
    <x v="7"/>
    <x v="2"/>
    <x v="3"/>
    <x v="3"/>
    <x v="3"/>
    <x v="2"/>
    <x v="2"/>
    <x v="3"/>
    <x v="3"/>
  </r>
  <r>
    <x v="50"/>
    <x v="20"/>
    <x v="2"/>
    <x v="0"/>
    <x v="1"/>
    <x v="14"/>
    <x v="13"/>
    <x v="1"/>
    <x v="0"/>
    <x v="0"/>
    <x v="5"/>
    <x v="0"/>
    <x v="5"/>
    <x v="0"/>
    <x v="5"/>
    <x v="7"/>
    <x v="0"/>
    <x v="49"/>
    <x v="0"/>
    <x v="2"/>
    <x v="2"/>
    <x v="0"/>
    <x v="2"/>
    <x v="3"/>
    <x v="3"/>
    <x v="3"/>
    <x v="2"/>
    <x v="2"/>
    <x v="3"/>
    <x v="3"/>
  </r>
  <r>
    <x v="51"/>
    <x v="49"/>
    <x v="9"/>
    <x v="16"/>
    <x v="1"/>
    <x v="21"/>
    <x v="20"/>
    <x v="1"/>
    <x v="0"/>
    <x v="6"/>
    <x v="12"/>
    <x v="0"/>
    <x v="12"/>
    <x v="4"/>
    <x v="11"/>
    <x v="36"/>
    <x v="0"/>
    <x v="50"/>
    <x v="4"/>
    <x v="1"/>
    <x v="4"/>
    <x v="1"/>
    <x v="1"/>
    <x v="3"/>
    <x v="3"/>
    <x v="3"/>
    <x v="2"/>
    <x v="2"/>
    <x v="3"/>
    <x v="3"/>
  </r>
  <r>
    <x v="52"/>
    <x v="9"/>
    <x v="0"/>
    <x v="17"/>
    <x v="1"/>
    <x v="13"/>
    <x v="12"/>
    <x v="1"/>
    <x v="1"/>
    <x v="1"/>
    <x v="19"/>
    <x v="3"/>
    <x v="19"/>
    <x v="0"/>
    <x v="18"/>
    <x v="37"/>
    <x v="3"/>
    <x v="51"/>
    <x v="2"/>
    <x v="1"/>
    <x v="0"/>
    <x v="2"/>
    <x v="2"/>
    <x v="3"/>
    <x v="3"/>
    <x v="3"/>
    <x v="2"/>
    <x v="2"/>
    <x v="3"/>
    <x v="3"/>
  </r>
  <r>
    <x v="53"/>
    <x v="50"/>
    <x v="10"/>
    <x v="0"/>
    <x v="17"/>
    <x v="19"/>
    <x v="18"/>
    <x v="0"/>
    <x v="1"/>
    <x v="1"/>
    <x v="21"/>
    <x v="0"/>
    <x v="21"/>
    <x v="1"/>
    <x v="20"/>
    <x v="19"/>
    <x v="0"/>
    <x v="37"/>
    <x v="0"/>
    <x v="0"/>
    <x v="1"/>
    <x v="0"/>
    <x v="0"/>
    <x v="3"/>
    <x v="3"/>
    <x v="3"/>
    <x v="2"/>
    <x v="2"/>
    <x v="3"/>
    <x v="3"/>
  </r>
  <r>
    <x v="54"/>
    <x v="4"/>
    <x v="1"/>
    <x v="18"/>
    <x v="1"/>
    <x v="23"/>
    <x v="8"/>
    <x v="0"/>
    <x v="1"/>
    <x v="1"/>
    <x v="5"/>
    <x v="3"/>
    <x v="5"/>
    <x v="0"/>
    <x v="5"/>
    <x v="32"/>
    <x v="1"/>
    <x v="52"/>
    <x v="2"/>
    <x v="1"/>
    <x v="3"/>
    <x v="5"/>
    <x v="2"/>
    <x v="3"/>
    <x v="3"/>
    <x v="3"/>
    <x v="2"/>
    <x v="2"/>
    <x v="3"/>
    <x v="3"/>
  </r>
  <r>
    <x v="55"/>
    <x v="51"/>
    <x v="2"/>
    <x v="6"/>
    <x v="1"/>
    <x v="30"/>
    <x v="14"/>
    <x v="1"/>
    <x v="0"/>
    <x v="0"/>
    <x v="21"/>
    <x v="4"/>
    <x v="21"/>
    <x v="1"/>
    <x v="20"/>
    <x v="38"/>
    <x v="0"/>
    <x v="53"/>
    <x v="3"/>
    <x v="1"/>
    <x v="4"/>
    <x v="2"/>
    <x v="2"/>
    <x v="3"/>
    <x v="3"/>
    <x v="3"/>
    <x v="2"/>
    <x v="2"/>
    <x v="3"/>
    <x v="3"/>
  </r>
  <r>
    <x v="56"/>
    <x v="52"/>
    <x v="9"/>
    <x v="19"/>
    <x v="1"/>
    <x v="15"/>
    <x v="14"/>
    <x v="0"/>
    <x v="1"/>
    <x v="1"/>
    <x v="11"/>
    <x v="3"/>
    <x v="11"/>
    <x v="2"/>
    <x v="10"/>
    <x v="39"/>
    <x v="0"/>
    <x v="54"/>
    <x v="0"/>
    <x v="1"/>
    <x v="0"/>
    <x v="1"/>
    <x v="1"/>
    <x v="3"/>
    <x v="3"/>
    <x v="3"/>
    <x v="2"/>
    <x v="2"/>
    <x v="3"/>
    <x v="3"/>
  </r>
  <r>
    <x v="57"/>
    <x v="53"/>
    <x v="3"/>
    <x v="0"/>
    <x v="1"/>
    <x v="0"/>
    <x v="0"/>
    <x v="0"/>
    <x v="0"/>
    <x v="0"/>
    <x v="17"/>
    <x v="0"/>
    <x v="17"/>
    <x v="4"/>
    <x v="16"/>
    <x v="23"/>
    <x v="3"/>
    <x v="31"/>
    <x v="1"/>
    <x v="2"/>
    <x v="4"/>
    <x v="0"/>
    <x v="2"/>
    <x v="3"/>
    <x v="3"/>
    <x v="3"/>
    <x v="2"/>
    <x v="2"/>
    <x v="3"/>
    <x v="3"/>
  </r>
  <r>
    <x v="58"/>
    <x v="54"/>
    <x v="6"/>
    <x v="0"/>
    <x v="18"/>
    <x v="31"/>
    <x v="24"/>
    <x v="2"/>
    <x v="0"/>
    <x v="0"/>
    <x v="2"/>
    <x v="0"/>
    <x v="2"/>
    <x v="0"/>
    <x v="2"/>
    <x v="40"/>
    <x v="1"/>
    <x v="55"/>
    <x v="2"/>
    <x v="0"/>
    <x v="4"/>
    <x v="0"/>
    <x v="0"/>
    <x v="3"/>
    <x v="3"/>
    <x v="3"/>
    <x v="2"/>
    <x v="2"/>
    <x v="3"/>
    <x v="3"/>
  </r>
  <r>
    <x v="59"/>
    <x v="2"/>
    <x v="2"/>
    <x v="0"/>
    <x v="19"/>
    <x v="6"/>
    <x v="6"/>
    <x v="2"/>
    <x v="3"/>
    <x v="3"/>
    <x v="6"/>
    <x v="4"/>
    <x v="6"/>
    <x v="2"/>
    <x v="6"/>
    <x v="0"/>
    <x v="3"/>
    <x v="56"/>
    <x v="0"/>
    <x v="0"/>
    <x v="1"/>
    <x v="0"/>
    <x v="0"/>
    <x v="3"/>
    <x v="3"/>
    <x v="3"/>
    <x v="2"/>
    <x v="2"/>
    <x v="3"/>
    <x v="3"/>
  </r>
  <r>
    <x v="60"/>
    <x v="55"/>
    <x v="11"/>
    <x v="0"/>
    <x v="1"/>
    <x v="32"/>
    <x v="25"/>
    <x v="1"/>
    <x v="1"/>
    <x v="1"/>
    <x v="13"/>
    <x v="1"/>
    <x v="13"/>
    <x v="4"/>
    <x v="12"/>
    <x v="21"/>
    <x v="1"/>
    <x v="57"/>
    <x v="4"/>
    <x v="2"/>
    <x v="0"/>
    <x v="0"/>
    <x v="2"/>
    <x v="3"/>
    <x v="3"/>
    <x v="3"/>
    <x v="2"/>
    <x v="2"/>
    <x v="3"/>
    <x v="3"/>
  </r>
  <r>
    <x v="61"/>
    <x v="56"/>
    <x v="4"/>
    <x v="20"/>
    <x v="1"/>
    <x v="33"/>
    <x v="15"/>
    <x v="0"/>
    <x v="1"/>
    <x v="1"/>
    <x v="14"/>
    <x v="0"/>
    <x v="14"/>
    <x v="3"/>
    <x v="13"/>
    <x v="41"/>
    <x v="1"/>
    <x v="58"/>
    <x v="1"/>
    <x v="1"/>
    <x v="1"/>
    <x v="7"/>
    <x v="2"/>
    <x v="3"/>
    <x v="3"/>
    <x v="3"/>
    <x v="2"/>
    <x v="2"/>
    <x v="3"/>
    <x v="3"/>
  </r>
  <r>
    <x v="62"/>
    <x v="57"/>
    <x v="3"/>
    <x v="0"/>
    <x v="1"/>
    <x v="34"/>
    <x v="5"/>
    <x v="2"/>
    <x v="5"/>
    <x v="5"/>
    <x v="11"/>
    <x v="1"/>
    <x v="11"/>
    <x v="2"/>
    <x v="10"/>
    <x v="12"/>
    <x v="0"/>
    <x v="14"/>
    <x v="4"/>
    <x v="2"/>
    <x v="3"/>
    <x v="0"/>
    <x v="2"/>
    <x v="3"/>
    <x v="3"/>
    <x v="3"/>
    <x v="2"/>
    <x v="2"/>
    <x v="3"/>
    <x v="3"/>
  </r>
  <r>
    <x v="63"/>
    <x v="38"/>
    <x v="0"/>
    <x v="21"/>
    <x v="1"/>
    <x v="35"/>
    <x v="5"/>
    <x v="1"/>
    <x v="4"/>
    <x v="4"/>
    <x v="7"/>
    <x v="4"/>
    <x v="7"/>
    <x v="0"/>
    <x v="7"/>
    <x v="42"/>
    <x v="3"/>
    <x v="59"/>
    <x v="0"/>
    <x v="1"/>
    <x v="1"/>
    <x v="5"/>
    <x v="2"/>
    <x v="3"/>
    <x v="3"/>
    <x v="3"/>
    <x v="2"/>
    <x v="2"/>
    <x v="3"/>
    <x v="3"/>
  </r>
  <r>
    <x v="64"/>
    <x v="51"/>
    <x v="2"/>
    <x v="0"/>
    <x v="20"/>
    <x v="4"/>
    <x v="4"/>
    <x v="1"/>
    <x v="3"/>
    <x v="3"/>
    <x v="13"/>
    <x v="2"/>
    <x v="13"/>
    <x v="4"/>
    <x v="12"/>
    <x v="21"/>
    <x v="2"/>
    <x v="60"/>
    <x v="2"/>
    <x v="0"/>
    <x v="3"/>
    <x v="0"/>
    <x v="0"/>
    <x v="3"/>
    <x v="3"/>
    <x v="3"/>
    <x v="2"/>
    <x v="2"/>
    <x v="3"/>
    <x v="3"/>
  </r>
  <r>
    <x v="65"/>
    <x v="58"/>
    <x v="3"/>
    <x v="0"/>
    <x v="21"/>
    <x v="4"/>
    <x v="4"/>
    <x v="1"/>
    <x v="3"/>
    <x v="3"/>
    <x v="6"/>
    <x v="4"/>
    <x v="6"/>
    <x v="2"/>
    <x v="6"/>
    <x v="22"/>
    <x v="0"/>
    <x v="61"/>
    <x v="0"/>
    <x v="0"/>
    <x v="0"/>
    <x v="0"/>
    <x v="0"/>
    <x v="3"/>
    <x v="3"/>
    <x v="3"/>
    <x v="2"/>
    <x v="2"/>
    <x v="3"/>
    <x v="3"/>
  </r>
  <r>
    <x v="66"/>
    <x v="59"/>
    <x v="7"/>
    <x v="22"/>
    <x v="1"/>
    <x v="36"/>
    <x v="26"/>
    <x v="3"/>
    <x v="7"/>
    <x v="8"/>
    <x v="20"/>
    <x v="0"/>
    <x v="20"/>
    <x v="1"/>
    <x v="19"/>
    <x v="43"/>
    <x v="1"/>
    <x v="62"/>
    <x v="1"/>
    <x v="1"/>
    <x v="2"/>
    <x v="1"/>
    <x v="1"/>
    <x v="3"/>
    <x v="3"/>
    <x v="3"/>
    <x v="2"/>
    <x v="2"/>
    <x v="3"/>
    <x v="3"/>
  </r>
  <r>
    <x v="67"/>
    <x v="42"/>
    <x v="0"/>
    <x v="0"/>
    <x v="1"/>
    <x v="9"/>
    <x v="8"/>
    <x v="0"/>
    <x v="0"/>
    <x v="0"/>
    <x v="4"/>
    <x v="4"/>
    <x v="4"/>
    <x v="3"/>
    <x v="4"/>
    <x v="35"/>
    <x v="2"/>
    <x v="63"/>
    <x v="1"/>
    <x v="2"/>
    <x v="2"/>
    <x v="0"/>
    <x v="2"/>
    <x v="3"/>
    <x v="3"/>
    <x v="3"/>
    <x v="2"/>
    <x v="2"/>
    <x v="3"/>
    <x v="3"/>
  </r>
  <r>
    <x v="68"/>
    <x v="60"/>
    <x v="7"/>
    <x v="0"/>
    <x v="22"/>
    <x v="2"/>
    <x v="2"/>
    <x v="1"/>
    <x v="2"/>
    <x v="2"/>
    <x v="3"/>
    <x v="1"/>
    <x v="3"/>
    <x v="2"/>
    <x v="3"/>
    <x v="5"/>
    <x v="4"/>
    <x v="64"/>
    <x v="0"/>
    <x v="0"/>
    <x v="1"/>
    <x v="0"/>
    <x v="0"/>
    <x v="3"/>
    <x v="3"/>
    <x v="3"/>
    <x v="2"/>
    <x v="2"/>
    <x v="3"/>
    <x v="3"/>
  </r>
  <r>
    <x v="69"/>
    <x v="26"/>
    <x v="2"/>
    <x v="0"/>
    <x v="11"/>
    <x v="4"/>
    <x v="4"/>
    <x v="1"/>
    <x v="3"/>
    <x v="3"/>
    <x v="21"/>
    <x v="4"/>
    <x v="21"/>
    <x v="1"/>
    <x v="20"/>
    <x v="29"/>
    <x v="4"/>
    <x v="62"/>
    <x v="4"/>
    <x v="0"/>
    <x v="0"/>
    <x v="0"/>
    <x v="0"/>
    <x v="3"/>
    <x v="3"/>
    <x v="3"/>
    <x v="2"/>
    <x v="2"/>
    <x v="3"/>
    <x v="3"/>
  </r>
  <r>
    <x v="70"/>
    <x v="42"/>
    <x v="0"/>
    <x v="23"/>
    <x v="1"/>
    <x v="26"/>
    <x v="6"/>
    <x v="2"/>
    <x v="4"/>
    <x v="4"/>
    <x v="6"/>
    <x v="1"/>
    <x v="6"/>
    <x v="2"/>
    <x v="6"/>
    <x v="18"/>
    <x v="0"/>
    <x v="24"/>
    <x v="1"/>
    <x v="1"/>
    <x v="3"/>
    <x v="7"/>
    <x v="2"/>
    <x v="3"/>
    <x v="3"/>
    <x v="3"/>
    <x v="2"/>
    <x v="2"/>
    <x v="3"/>
    <x v="3"/>
  </r>
  <r>
    <x v="71"/>
    <x v="61"/>
    <x v="10"/>
    <x v="0"/>
    <x v="1"/>
    <x v="33"/>
    <x v="15"/>
    <x v="0"/>
    <x v="1"/>
    <x v="1"/>
    <x v="21"/>
    <x v="1"/>
    <x v="21"/>
    <x v="1"/>
    <x v="20"/>
    <x v="29"/>
    <x v="1"/>
    <x v="39"/>
    <x v="4"/>
    <x v="2"/>
    <x v="3"/>
    <x v="0"/>
    <x v="2"/>
    <x v="3"/>
    <x v="3"/>
    <x v="3"/>
    <x v="2"/>
    <x v="2"/>
    <x v="3"/>
    <x v="3"/>
  </r>
  <r>
    <x v="72"/>
    <x v="62"/>
    <x v="7"/>
    <x v="0"/>
    <x v="23"/>
    <x v="17"/>
    <x v="16"/>
    <x v="1"/>
    <x v="0"/>
    <x v="0"/>
    <x v="9"/>
    <x v="0"/>
    <x v="9"/>
    <x v="2"/>
    <x v="1"/>
    <x v="44"/>
    <x v="4"/>
    <x v="65"/>
    <x v="2"/>
    <x v="0"/>
    <x v="2"/>
    <x v="0"/>
    <x v="0"/>
    <x v="3"/>
    <x v="3"/>
    <x v="3"/>
    <x v="2"/>
    <x v="2"/>
    <x v="3"/>
    <x v="3"/>
  </r>
  <r>
    <x v="73"/>
    <x v="63"/>
    <x v="9"/>
    <x v="24"/>
    <x v="1"/>
    <x v="16"/>
    <x v="15"/>
    <x v="2"/>
    <x v="2"/>
    <x v="2"/>
    <x v="5"/>
    <x v="3"/>
    <x v="5"/>
    <x v="0"/>
    <x v="5"/>
    <x v="32"/>
    <x v="1"/>
    <x v="52"/>
    <x v="0"/>
    <x v="1"/>
    <x v="4"/>
    <x v="3"/>
    <x v="2"/>
    <x v="3"/>
    <x v="3"/>
    <x v="3"/>
    <x v="2"/>
    <x v="2"/>
    <x v="3"/>
    <x v="3"/>
  </r>
  <r>
    <x v="74"/>
    <x v="64"/>
    <x v="3"/>
    <x v="0"/>
    <x v="1"/>
    <x v="5"/>
    <x v="5"/>
    <x v="2"/>
    <x v="0"/>
    <x v="0"/>
    <x v="10"/>
    <x v="1"/>
    <x v="10"/>
    <x v="3"/>
    <x v="9"/>
    <x v="34"/>
    <x v="3"/>
    <x v="48"/>
    <x v="0"/>
    <x v="2"/>
    <x v="0"/>
    <x v="0"/>
    <x v="2"/>
    <x v="3"/>
    <x v="3"/>
    <x v="3"/>
    <x v="2"/>
    <x v="2"/>
    <x v="3"/>
    <x v="3"/>
  </r>
  <r>
    <x v="75"/>
    <x v="65"/>
    <x v="11"/>
    <x v="25"/>
    <x v="1"/>
    <x v="10"/>
    <x v="9"/>
    <x v="0"/>
    <x v="0"/>
    <x v="0"/>
    <x v="6"/>
    <x v="0"/>
    <x v="6"/>
    <x v="2"/>
    <x v="6"/>
    <x v="18"/>
    <x v="1"/>
    <x v="34"/>
    <x v="4"/>
    <x v="1"/>
    <x v="0"/>
    <x v="3"/>
    <x v="2"/>
    <x v="3"/>
    <x v="3"/>
    <x v="3"/>
    <x v="2"/>
    <x v="2"/>
    <x v="3"/>
    <x v="3"/>
  </r>
  <r>
    <x v="76"/>
    <x v="22"/>
    <x v="4"/>
    <x v="26"/>
    <x v="1"/>
    <x v="34"/>
    <x v="5"/>
    <x v="2"/>
    <x v="5"/>
    <x v="5"/>
    <x v="19"/>
    <x v="4"/>
    <x v="19"/>
    <x v="0"/>
    <x v="18"/>
    <x v="45"/>
    <x v="3"/>
    <x v="66"/>
    <x v="4"/>
    <x v="1"/>
    <x v="2"/>
    <x v="1"/>
    <x v="1"/>
    <x v="3"/>
    <x v="3"/>
    <x v="3"/>
    <x v="2"/>
    <x v="2"/>
    <x v="3"/>
    <x v="3"/>
  </r>
  <r>
    <x v="77"/>
    <x v="66"/>
    <x v="0"/>
    <x v="0"/>
    <x v="24"/>
    <x v="35"/>
    <x v="5"/>
    <x v="1"/>
    <x v="4"/>
    <x v="4"/>
    <x v="15"/>
    <x v="3"/>
    <x v="15"/>
    <x v="1"/>
    <x v="14"/>
    <x v="22"/>
    <x v="4"/>
    <x v="20"/>
    <x v="0"/>
    <x v="0"/>
    <x v="2"/>
    <x v="0"/>
    <x v="0"/>
    <x v="3"/>
    <x v="3"/>
    <x v="3"/>
    <x v="2"/>
    <x v="2"/>
    <x v="3"/>
    <x v="3"/>
  </r>
  <r>
    <x v="78"/>
    <x v="7"/>
    <x v="6"/>
    <x v="0"/>
    <x v="1"/>
    <x v="35"/>
    <x v="5"/>
    <x v="1"/>
    <x v="4"/>
    <x v="4"/>
    <x v="0"/>
    <x v="0"/>
    <x v="0"/>
    <x v="0"/>
    <x v="0"/>
    <x v="17"/>
    <x v="0"/>
    <x v="67"/>
    <x v="3"/>
    <x v="2"/>
    <x v="2"/>
    <x v="0"/>
    <x v="2"/>
    <x v="3"/>
    <x v="3"/>
    <x v="3"/>
    <x v="2"/>
    <x v="2"/>
    <x v="3"/>
    <x v="3"/>
  </r>
  <r>
    <x v="79"/>
    <x v="67"/>
    <x v="2"/>
    <x v="27"/>
    <x v="1"/>
    <x v="24"/>
    <x v="21"/>
    <x v="1"/>
    <x v="0"/>
    <x v="0"/>
    <x v="1"/>
    <x v="1"/>
    <x v="1"/>
    <x v="1"/>
    <x v="1"/>
    <x v="44"/>
    <x v="1"/>
    <x v="68"/>
    <x v="1"/>
    <x v="1"/>
    <x v="2"/>
    <x v="2"/>
    <x v="2"/>
    <x v="3"/>
    <x v="3"/>
    <x v="3"/>
    <x v="2"/>
    <x v="2"/>
    <x v="3"/>
    <x v="3"/>
  </r>
  <r>
    <x v="80"/>
    <x v="68"/>
    <x v="4"/>
    <x v="0"/>
    <x v="1"/>
    <x v="27"/>
    <x v="22"/>
    <x v="1"/>
    <x v="6"/>
    <x v="7"/>
    <x v="18"/>
    <x v="4"/>
    <x v="18"/>
    <x v="3"/>
    <x v="17"/>
    <x v="46"/>
    <x v="4"/>
    <x v="69"/>
    <x v="2"/>
    <x v="2"/>
    <x v="2"/>
    <x v="0"/>
    <x v="2"/>
    <x v="3"/>
    <x v="3"/>
    <x v="3"/>
    <x v="2"/>
    <x v="2"/>
    <x v="3"/>
    <x v="3"/>
  </r>
  <r>
    <x v="81"/>
    <x v="30"/>
    <x v="8"/>
    <x v="0"/>
    <x v="25"/>
    <x v="8"/>
    <x v="8"/>
    <x v="2"/>
    <x v="4"/>
    <x v="4"/>
    <x v="11"/>
    <x v="0"/>
    <x v="11"/>
    <x v="2"/>
    <x v="10"/>
    <x v="12"/>
    <x v="3"/>
    <x v="70"/>
    <x v="1"/>
    <x v="0"/>
    <x v="3"/>
    <x v="0"/>
    <x v="0"/>
    <x v="3"/>
    <x v="3"/>
    <x v="3"/>
    <x v="2"/>
    <x v="2"/>
    <x v="3"/>
    <x v="3"/>
  </r>
  <r>
    <x v="82"/>
    <x v="69"/>
    <x v="2"/>
    <x v="28"/>
    <x v="1"/>
    <x v="0"/>
    <x v="0"/>
    <x v="0"/>
    <x v="0"/>
    <x v="0"/>
    <x v="11"/>
    <x v="2"/>
    <x v="11"/>
    <x v="2"/>
    <x v="10"/>
    <x v="12"/>
    <x v="1"/>
    <x v="42"/>
    <x v="2"/>
    <x v="1"/>
    <x v="1"/>
    <x v="1"/>
    <x v="1"/>
    <x v="3"/>
    <x v="3"/>
    <x v="3"/>
    <x v="2"/>
    <x v="2"/>
    <x v="3"/>
    <x v="3"/>
  </r>
  <r>
    <x v="83"/>
    <x v="33"/>
    <x v="0"/>
    <x v="0"/>
    <x v="1"/>
    <x v="37"/>
    <x v="1"/>
    <x v="0"/>
    <x v="2"/>
    <x v="2"/>
    <x v="16"/>
    <x v="2"/>
    <x v="16"/>
    <x v="2"/>
    <x v="15"/>
    <x v="38"/>
    <x v="4"/>
    <x v="71"/>
    <x v="2"/>
    <x v="2"/>
    <x v="0"/>
    <x v="0"/>
    <x v="2"/>
    <x v="3"/>
    <x v="3"/>
    <x v="3"/>
    <x v="2"/>
    <x v="2"/>
    <x v="3"/>
    <x v="3"/>
  </r>
  <r>
    <x v="84"/>
    <x v="61"/>
    <x v="10"/>
    <x v="0"/>
    <x v="1"/>
    <x v="9"/>
    <x v="8"/>
    <x v="0"/>
    <x v="0"/>
    <x v="0"/>
    <x v="6"/>
    <x v="1"/>
    <x v="6"/>
    <x v="2"/>
    <x v="6"/>
    <x v="18"/>
    <x v="3"/>
    <x v="72"/>
    <x v="4"/>
    <x v="2"/>
    <x v="0"/>
    <x v="0"/>
    <x v="2"/>
    <x v="3"/>
    <x v="3"/>
    <x v="3"/>
    <x v="2"/>
    <x v="2"/>
    <x v="3"/>
    <x v="3"/>
  </r>
  <r>
    <x v="85"/>
    <x v="70"/>
    <x v="4"/>
    <x v="0"/>
    <x v="1"/>
    <x v="20"/>
    <x v="19"/>
    <x v="2"/>
    <x v="5"/>
    <x v="5"/>
    <x v="19"/>
    <x v="4"/>
    <x v="19"/>
    <x v="0"/>
    <x v="18"/>
    <x v="47"/>
    <x v="0"/>
    <x v="30"/>
    <x v="2"/>
    <x v="2"/>
    <x v="2"/>
    <x v="0"/>
    <x v="2"/>
    <x v="3"/>
    <x v="3"/>
    <x v="3"/>
    <x v="2"/>
    <x v="2"/>
    <x v="3"/>
    <x v="3"/>
  </r>
  <r>
    <x v="86"/>
    <x v="56"/>
    <x v="4"/>
    <x v="0"/>
    <x v="1"/>
    <x v="38"/>
    <x v="27"/>
    <x v="0"/>
    <x v="3"/>
    <x v="3"/>
    <x v="5"/>
    <x v="2"/>
    <x v="5"/>
    <x v="0"/>
    <x v="5"/>
    <x v="7"/>
    <x v="2"/>
    <x v="28"/>
    <x v="1"/>
    <x v="2"/>
    <x v="2"/>
    <x v="0"/>
    <x v="2"/>
    <x v="3"/>
    <x v="3"/>
    <x v="3"/>
    <x v="2"/>
    <x v="2"/>
    <x v="3"/>
    <x v="3"/>
  </r>
  <r>
    <x v="87"/>
    <x v="53"/>
    <x v="3"/>
    <x v="0"/>
    <x v="1"/>
    <x v="20"/>
    <x v="19"/>
    <x v="2"/>
    <x v="5"/>
    <x v="5"/>
    <x v="14"/>
    <x v="2"/>
    <x v="14"/>
    <x v="3"/>
    <x v="13"/>
    <x v="48"/>
    <x v="1"/>
    <x v="73"/>
    <x v="4"/>
    <x v="2"/>
    <x v="3"/>
    <x v="0"/>
    <x v="2"/>
    <x v="3"/>
    <x v="3"/>
    <x v="3"/>
    <x v="2"/>
    <x v="2"/>
    <x v="3"/>
    <x v="3"/>
  </r>
  <r>
    <x v="88"/>
    <x v="71"/>
    <x v="7"/>
    <x v="0"/>
    <x v="1"/>
    <x v="20"/>
    <x v="19"/>
    <x v="2"/>
    <x v="5"/>
    <x v="5"/>
    <x v="19"/>
    <x v="4"/>
    <x v="19"/>
    <x v="0"/>
    <x v="18"/>
    <x v="49"/>
    <x v="3"/>
    <x v="74"/>
    <x v="4"/>
    <x v="2"/>
    <x v="4"/>
    <x v="0"/>
    <x v="2"/>
    <x v="3"/>
    <x v="3"/>
    <x v="3"/>
    <x v="2"/>
    <x v="2"/>
    <x v="3"/>
    <x v="3"/>
  </r>
  <r>
    <x v="89"/>
    <x v="63"/>
    <x v="9"/>
    <x v="0"/>
    <x v="1"/>
    <x v="20"/>
    <x v="19"/>
    <x v="2"/>
    <x v="5"/>
    <x v="5"/>
    <x v="7"/>
    <x v="4"/>
    <x v="7"/>
    <x v="0"/>
    <x v="7"/>
    <x v="50"/>
    <x v="1"/>
    <x v="75"/>
    <x v="1"/>
    <x v="2"/>
    <x v="4"/>
    <x v="0"/>
    <x v="2"/>
    <x v="3"/>
    <x v="3"/>
    <x v="3"/>
    <x v="2"/>
    <x v="2"/>
    <x v="3"/>
    <x v="3"/>
  </r>
  <r>
    <x v="90"/>
    <x v="72"/>
    <x v="8"/>
    <x v="29"/>
    <x v="1"/>
    <x v="39"/>
    <x v="28"/>
    <x v="1"/>
    <x v="3"/>
    <x v="3"/>
    <x v="14"/>
    <x v="3"/>
    <x v="14"/>
    <x v="3"/>
    <x v="13"/>
    <x v="51"/>
    <x v="4"/>
    <x v="76"/>
    <x v="0"/>
    <x v="1"/>
    <x v="4"/>
    <x v="3"/>
    <x v="2"/>
    <x v="3"/>
    <x v="3"/>
    <x v="3"/>
    <x v="2"/>
    <x v="2"/>
    <x v="3"/>
    <x v="3"/>
  </r>
  <r>
    <x v="91"/>
    <x v="73"/>
    <x v="1"/>
    <x v="0"/>
    <x v="8"/>
    <x v="7"/>
    <x v="7"/>
    <x v="2"/>
    <x v="3"/>
    <x v="3"/>
    <x v="8"/>
    <x v="0"/>
    <x v="8"/>
    <x v="3"/>
    <x v="8"/>
    <x v="52"/>
    <x v="3"/>
    <x v="77"/>
    <x v="2"/>
    <x v="0"/>
    <x v="2"/>
    <x v="0"/>
    <x v="0"/>
    <x v="3"/>
    <x v="3"/>
    <x v="3"/>
    <x v="2"/>
    <x v="2"/>
    <x v="3"/>
    <x v="3"/>
  </r>
  <r>
    <x v="92"/>
    <x v="74"/>
    <x v="1"/>
    <x v="30"/>
    <x v="1"/>
    <x v="40"/>
    <x v="24"/>
    <x v="1"/>
    <x v="4"/>
    <x v="4"/>
    <x v="19"/>
    <x v="1"/>
    <x v="19"/>
    <x v="0"/>
    <x v="18"/>
    <x v="47"/>
    <x v="2"/>
    <x v="78"/>
    <x v="0"/>
    <x v="1"/>
    <x v="0"/>
    <x v="1"/>
    <x v="1"/>
    <x v="3"/>
    <x v="3"/>
    <x v="3"/>
    <x v="2"/>
    <x v="2"/>
    <x v="3"/>
    <x v="3"/>
  </r>
  <r>
    <x v="93"/>
    <x v="75"/>
    <x v="0"/>
    <x v="0"/>
    <x v="26"/>
    <x v="7"/>
    <x v="7"/>
    <x v="2"/>
    <x v="3"/>
    <x v="3"/>
    <x v="21"/>
    <x v="0"/>
    <x v="21"/>
    <x v="1"/>
    <x v="20"/>
    <x v="29"/>
    <x v="4"/>
    <x v="62"/>
    <x v="1"/>
    <x v="0"/>
    <x v="4"/>
    <x v="0"/>
    <x v="0"/>
    <x v="3"/>
    <x v="3"/>
    <x v="3"/>
    <x v="2"/>
    <x v="2"/>
    <x v="3"/>
    <x v="3"/>
  </r>
  <r>
    <x v="94"/>
    <x v="76"/>
    <x v="8"/>
    <x v="0"/>
    <x v="27"/>
    <x v="38"/>
    <x v="27"/>
    <x v="0"/>
    <x v="3"/>
    <x v="3"/>
    <x v="17"/>
    <x v="2"/>
    <x v="17"/>
    <x v="4"/>
    <x v="16"/>
    <x v="23"/>
    <x v="3"/>
    <x v="31"/>
    <x v="4"/>
    <x v="0"/>
    <x v="3"/>
    <x v="0"/>
    <x v="0"/>
    <x v="3"/>
    <x v="3"/>
    <x v="3"/>
    <x v="2"/>
    <x v="2"/>
    <x v="3"/>
    <x v="3"/>
  </r>
  <r>
    <x v="95"/>
    <x v="77"/>
    <x v="7"/>
    <x v="31"/>
    <x v="1"/>
    <x v="30"/>
    <x v="14"/>
    <x v="1"/>
    <x v="0"/>
    <x v="0"/>
    <x v="12"/>
    <x v="0"/>
    <x v="12"/>
    <x v="4"/>
    <x v="11"/>
    <x v="13"/>
    <x v="4"/>
    <x v="61"/>
    <x v="3"/>
    <x v="1"/>
    <x v="2"/>
    <x v="2"/>
    <x v="2"/>
    <x v="3"/>
    <x v="3"/>
    <x v="3"/>
    <x v="2"/>
    <x v="2"/>
    <x v="3"/>
    <x v="3"/>
  </r>
  <r>
    <x v="96"/>
    <x v="78"/>
    <x v="0"/>
    <x v="8"/>
    <x v="1"/>
    <x v="10"/>
    <x v="9"/>
    <x v="0"/>
    <x v="0"/>
    <x v="0"/>
    <x v="1"/>
    <x v="4"/>
    <x v="1"/>
    <x v="1"/>
    <x v="1"/>
    <x v="44"/>
    <x v="3"/>
    <x v="79"/>
    <x v="3"/>
    <x v="1"/>
    <x v="3"/>
    <x v="2"/>
    <x v="2"/>
    <x v="3"/>
    <x v="3"/>
    <x v="3"/>
    <x v="2"/>
    <x v="2"/>
    <x v="3"/>
    <x v="3"/>
  </r>
  <r>
    <x v="97"/>
    <x v="79"/>
    <x v="11"/>
    <x v="10"/>
    <x v="1"/>
    <x v="2"/>
    <x v="2"/>
    <x v="1"/>
    <x v="2"/>
    <x v="2"/>
    <x v="19"/>
    <x v="2"/>
    <x v="19"/>
    <x v="0"/>
    <x v="18"/>
    <x v="53"/>
    <x v="4"/>
    <x v="80"/>
    <x v="2"/>
    <x v="1"/>
    <x v="3"/>
    <x v="6"/>
    <x v="2"/>
    <x v="3"/>
    <x v="3"/>
    <x v="3"/>
    <x v="2"/>
    <x v="2"/>
    <x v="3"/>
    <x v="3"/>
  </r>
  <r>
    <x v="98"/>
    <x v="63"/>
    <x v="9"/>
    <x v="0"/>
    <x v="28"/>
    <x v="41"/>
    <x v="29"/>
    <x v="0"/>
    <x v="2"/>
    <x v="2"/>
    <x v="6"/>
    <x v="4"/>
    <x v="6"/>
    <x v="2"/>
    <x v="6"/>
    <x v="18"/>
    <x v="3"/>
    <x v="72"/>
    <x v="1"/>
    <x v="0"/>
    <x v="2"/>
    <x v="0"/>
    <x v="0"/>
    <x v="3"/>
    <x v="3"/>
    <x v="3"/>
    <x v="2"/>
    <x v="2"/>
    <x v="3"/>
    <x v="3"/>
  </r>
  <r>
    <x v="99"/>
    <x v="80"/>
    <x v="10"/>
    <x v="0"/>
    <x v="1"/>
    <x v="4"/>
    <x v="4"/>
    <x v="1"/>
    <x v="3"/>
    <x v="3"/>
    <x v="15"/>
    <x v="4"/>
    <x v="15"/>
    <x v="1"/>
    <x v="14"/>
    <x v="22"/>
    <x v="1"/>
    <x v="81"/>
    <x v="4"/>
    <x v="2"/>
    <x v="0"/>
    <x v="0"/>
    <x v="2"/>
    <x v="3"/>
    <x v="3"/>
    <x v="3"/>
    <x v="2"/>
    <x v="2"/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</r>
  <r>
    <x v="2"/>
    <x v="2"/>
    <x v="2"/>
    <x v="0"/>
    <x v="1"/>
    <x v="0"/>
    <x v="0"/>
    <x v="0"/>
    <x v="0"/>
    <x v="0"/>
    <x v="2"/>
    <x v="2"/>
    <x v="2"/>
    <x v="0"/>
    <x v="2"/>
    <x v="2"/>
    <x v="1"/>
    <x v="2"/>
    <x v="1"/>
    <x v="2"/>
    <x v="1"/>
    <x v="0"/>
    <x v="2"/>
    <x v="2"/>
    <x v="2"/>
    <x v="2"/>
    <x v="0"/>
    <x v="1"/>
    <x v="2"/>
    <x v="2"/>
  </r>
  <r>
    <x v="3"/>
    <x v="3"/>
    <x v="3"/>
    <x v="0"/>
    <x v="2"/>
    <x v="2"/>
    <x v="2"/>
    <x v="1"/>
    <x v="2"/>
    <x v="2"/>
    <x v="2"/>
    <x v="0"/>
    <x v="2"/>
    <x v="0"/>
    <x v="2"/>
    <x v="3"/>
    <x v="2"/>
    <x v="3"/>
    <x v="2"/>
    <x v="0"/>
    <x v="2"/>
    <x v="0"/>
    <x v="0"/>
    <x v="3"/>
    <x v="3"/>
    <x v="3"/>
    <x v="2"/>
    <x v="2"/>
    <x v="3"/>
    <x v="3"/>
  </r>
  <r>
    <x v="4"/>
    <x v="4"/>
    <x v="1"/>
    <x v="2"/>
    <x v="1"/>
    <x v="3"/>
    <x v="3"/>
    <x v="0"/>
    <x v="3"/>
    <x v="3"/>
    <x v="3"/>
    <x v="0"/>
    <x v="3"/>
    <x v="2"/>
    <x v="3"/>
    <x v="4"/>
    <x v="0"/>
    <x v="4"/>
    <x v="2"/>
    <x v="1"/>
    <x v="3"/>
    <x v="2"/>
    <x v="2"/>
    <x v="3"/>
    <x v="3"/>
    <x v="3"/>
    <x v="2"/>
    <x v="2"/>
    <x v="3"/>
    <x v="3"/>
  </r>
  <r>
    <x v="5"/>
    <x v="5"/>
    <x v="4"/>
    <x v="0"/>
    <x v="3"/>
    <x v="4"/>
    <x v="4"/>
    <x v="1"/>
    <x v="3"/>
    <x v="3"/>
    <x v="3"/>
    <x v="0"/>
    <x v="3"/>
    <x v="2"/>
    <x v="3"/>
    <x v="5"/>
    <x v="1"/>
    <x v="5"/>
    <x v="3"/>
    <x v="0"/>
    <x v="0"/>
    <x v="0"/>
    <x v="0"/>
    <x v="3"/>
    <x v="3"/>
    <x v="3"/>
    <x v="2"/>
    <x v="2"/>
    <x v="3"/>
    <x v="3"/>
  </r>
  <r>
    <x v="6"/>
    <x v="6"/>
    <x v="5"/>
    <x v="0"/>
    <x v="4"/>
    <x v="5"/>
    <x v="5"/>
    <x v="2"/>
    <x v="0"/>
    <x v="0"/>
    <x v="4"/>
    <x v="3"/>
    <x v="4"/>
    <x v="3"/>
    <x v="4"/>
    <x v="6"/>
    <x v="2"/>
    <x v="6"/>
    <x v="4"/>
    <x v="0"/>
    <x v="0"/>
    <x v="0"/>
    <x v="0"/>
    <x v="4"/>
    <x v="4"/>
    <x v="4"/>
    <x v="3"/>
    <x v="3"/>
    <x v="4"/>
    <x v="4"/>
  </r>
  <r>
    <x v="7"/>
    <x v="7"/>
    <x v="6"/>
    <x v="0"/>
    <x v="5"/>
    <x v="6"/>
    <x v="6"/>
    <x v="2"/>
    <x v="3"/>
    <x v="3"/>
    <x v="5"/>
    <x v="4"/>
    <x v="5"/>
    <x v="0"/>
    <x v="5"/>
    <x v="7"/>
    <x v="3"/>
    <x v="7"/>
    <x v="2"/>
    <x v="0"/>
    <x v="0"/>
    <x v="0"/>
    <x v="0"/>
    <x v="5"/>
    <x v="5"/>
    <x v="5"/>
    <x v="1"/>
    <x v="1"/>
    <x v="1"/>
    <x v="5"/>
  </r>
  <r>
    <x v="8"/>
    <x v="8"/>
    <x v="7"/>
    <x v="0"/>
    <x v="1"/>
    <x v="7"/>
    <x v="7"/>
    <x v="2"/>
    <x v="3"/>
    <x v="3"/>
    <x v="6"/>
    <x v="3"/>
    <x v="6"/>
    <x v="2"/>
    <x v="6"/>
    <x v="0"/>
    <x v="4"/>
    <x v="8"/>
    <x v="1"/>
    <x v="2"/>
    <x v="3"/>
    <x v="0"/>
    <x v="2"/>
    <x v="3"/>
    <x v="3"/>
    <x v="3"/>
    <x v="2"/>
    <x v="2"/>
    <x v="3"/>
    <x v="3"/>
  </r>
  <r>
    <x v="9"/>
    <x v="9"/>
    <x v="0"/>
    <x v="0"/>
    <x v="1"/>
    <x v="6"/>
    <x v="6"/>
    <x v="2"/>
    <x v="3"/>
    <x v="3"/>
    <x v="7"/>
    <x v="2"/>
    <x v="7"/>
    <x v="0"/>
    <x v="7"/>
    <x v="8"/>
    <x v="1"/>
    <x v="9"/>
    <x v="4"/>
    <x v="2"/>
    <x v="0"/>
    <x v="0"/>
    <x v="2"/>
    <x v="3"/>
    <x v="3"/>
    <x v="3"/>
    <x v="2"/>
    <x v="2"/>
    <x v="3"/>
    <x v="3"/>
  </r>
  <r>
    <x v="10"/>
    <x v="10"/>
    <x v="3"/>
    <x v="0"/>
    <x v="6"/>
    <x v="8"/>
    <x v="8"/>
    <x v="2"/>
    <x v="4"/>
    <x v="4"/>
    <x v="8"/>
    <x v="2"/>
    <x v="8"/>
    <x v="3"/>
    <x v="8"/>
    <x v="9"/>
    <x v="0"/>
    <x v="10"/>
    <x v="3"/>
    <x v="0"/>
    <x v="1"/>
    <x v="0"/>
    <x v="0"/>
    <x v="3"/>
    <x v="3"/>
    <x v="3"/>
    <x v="2"/>
    <x v="2"/>
    <x v="3"/>
    <x v="3"/>
  </r>
  <r>
    <x v="11"/>
    <x v="11"/>
    <x v="7"/>
    <x v="0"/>
    <x v="1"/>
    <x v="9"/>
    <x v="8"/>
    <x v="0"/>
    <x v="0"/>
    <x v="0"/>
    <x v="8"/>
    <x v="3"/>
    <x v="8"/>
    <x v="3"/>
    <x v="8"/>
    <x v="10"/>
    <x v="2"/>
    <x v="11"/>
    <x v="3"/>
    <x v="2"/>
    <x v="4"/>
    <x v="0"/>
    <x v="2"/>
    <x v="3"/>
    <x v="3"/>
    <x v="3"/>
    <x v="2"/>
    <x v="2"/>
    <x v="3"/>
    <x v="3"/>
  </r>
  <r>
    <x v="12"/>
    <x v="12"/>
    <x v="1"/>
    <x v="0"/>
    <x v="7"/>
    <x v="10"/>
    <x v="9"/>
    <x v="0"/>
    <x v="0"/>
    <x v="0"/>
    <x v="9"/>
    <x v="3"/>
    <x v="9"/>
    <x v="2"/>
    <x v="1"/>
    <x v="1"/>
    <x v="0"/>
    <x v="12"/>
    <x v="0"/>
    <x v="0"/>
    <x v="3"/>
    <x v="0"/>
    <x v="0"/>
    <x v="3"/>
    <x v="3"/>
    <x v="3"/>
    <x v="2"/>
    <x v="2"/>
    <x v="3"/>
    <x v="3"/>
  </r>
  <r>
    <x v="13"/>
    <x v="13"/>
    <x v="1"/>
    <x v="0"/>
    <x v="8"/>
    <x v="11"/>
    <x v="10"/>
    <x v="1"/>
    <x v="2"/>
    <x v="2"/>
    <x v="10"/>
    <x v="4"/>
    <x v="10"/>
    <x v="3"/>
    <x v="9"/>
    <x v="11"/>
    <x v="3"/>
    <x v="13"/>
    <x v="0"/>
    <x v="0"/>
    <x v="3"/>
    <x v="0"/>
    <x v="0"/>
    <x v="3"/>
    <x v="3"/>
    <x v="3"/>
    <x v="2"/>
    <x v="2"/>
    <x v="3"/>
    <x v="3"/>
  </r>
  <r>
    <x v="14"/>
    <x v="14"/>
    <x v="5"/>
    <x v="0"/>
    <x v="9"/>
    <x v="11"/>
    <x v="10"/>
    <x v="1"/>
    <x v="2"/>
    <x v="2"/>
    <x v="11"/>
    <x v="2"/>
    <x v="11"/>
    <x v="2"/>
    <x v="10"/>
    <x v="12"/>
    <x v="0"/>
    <x v="14"/>
    <x v="1"/>
    <x v="0"/>
    <x v="3"/>
    <x v="0"/>
    <x v="0"/>
    <x v="3"/>
    <x v="3"/>
    <x v="3"/>
    <x v="2"/>
    <x v="2"/>
    <x v="3"/>
    <x v="3"/>
  </r>
  <r>
    <x v="15"/>
    <x v="15"/>
    <x v="1"/>
    <x v="0"/>
    <x v="1"/>
    <x v="12"/>
    <x v="11"/>
    <x v="0"/>
    <x v="4"/>
    <x v="4"/>
    <x v="11"/>
    <x v="2"/>
    <x v="11"/>
    <x v="2"/>
    <x v="10"/>
    <x v="12"/>
    <x v="2"/>
    <x v="15"/>
    <x v="4"/>
    <x v="2"/>
    <x v="3"/>
    <x v="0"/>
    <x v="2"/>
    <x v="3"/>
    <x v="3"/>
    <x v="3"/>
    <x v="2"/>
    <x v="2"/>
    <x v="3"/>
    <x v="3"/>
  </r>
  <r>
    <x v="16"/>
    <x v="16"/>
    <x v="8"/>
    <x v="3"/>
    <x v="1"/>
    <x v="9"/>
    <x v="8"/>
    <x v="0"/>
    <x v="0"/>
    <x v="0"/>
    <x v="12"/>
    <x v="1"/>
    <x v="12"/>
    <x v="4"/>
    <x v="11"/>
    <x v="13"/>
    <x v="2"/>
    <x v="16"/>
    <x v="1"/>
    <x v="1"/>
    <x v="0"/>
    <x v="2"/>
    <x v="2"/>
    <x v="3"/>
    <x v="3"/>
    <x v="3"/>
    <x v="2"/>
    <x v="2"/>
    <x v="3"/>
    <x v="3"/>
  </r>
  <r>
    <x v="17"/>
    <x v="17"/>
    <x v="4"/>
    <x v="0"/>
    <x v="1"/>
    <x v="13"/>
    <x v="12"/>
    <x v="1"/>
    <x v="1"/>
    <x v="1"/>
    <x v="13"/>
    <x v="4"/>
    <x v="13"/>
    <x v="4"/>
    <x v="12"/>
    <x v="14"/>
    <x v="3"/>
    <x v="17"/>
    <x v="2"/>
    <x v="2"/>
    <x v="3"/>
    <x v="0"/>
    <x v="2"/>
    <x v="3"/>
    <x v="3"/>
    <x v="3"/>
    <x v="2"/>
    <x v="2"/>
    <x v="3"/>
    <x v="3"/>
  </r>
  <r>
    <x v="18"/>
    <x v="18"/>
    <x v="5"/>
    <x v="0"/>
    <x v="1"/>
    <x v="14"/>
    <x v="13"/>
    <x v="1"/>
    <x v="0"/>
    <x v="0"/>
    <x v="9"/>
    <x v="2"/>
    <x v="9"/>
    <x v="2"/>
    <x v="1"/>
    <x v="15"/>
    <x v="1"/>
    <x v="18"/>
    <x v="1"/>
    <x v="2"/>
    <x v="1"/>
    <x v="0"/>
    <x v="2"/>
    <x v="3"/>
    <x v="3"/>
    <x v="3"/>
    <x v="2"/>
    <x v="2"/>
    <x v="3"/>
    <x v="3"/>
  </r>
  <r>
    <x v="19"/>
    <x v="19"/>
    <x v="6"/>
    <x v="0"/>
    <x v="1"/>
    <x v="15"/>
    <x v="14"/>
    <x v="0"/>
    <x v="1"/>
    <x v="1"/>
    <x v="14"/>
    <x v="0"/>
    <x v="14"/>
    <x v="3"/>
    <x v="13"/>
    <x v="16"/>
    <x v="4"/>
    <x v="19"/>
    <x v="1"/>
    <x v="2"/>
    <x v="4"/>
    <x v="0"/>
    <x v="2"/>
    <x v="3"/>
    <x v="3"/>
    <x v="3"/>
    <x v="2"/>
    <x v="2"/>
    <x v="3"/>
    <x v="3"/>
  </r>
  <r>
    <x v="20"/>
    <x v="20"/>
    <x v="2"/>
    <x v="0"/>
    <x v="1"/>
    <x v="7"/>
    <x v="7"/>
    <x v="2"/>
    <x v="3"/>
    <x v="3"/>
    <x v="12"/>
    <x v="3"/>
    <x v="12"/>
    <x v="4"/>
    <x v="11"/>
    <x v="13"/>
    <x v="1"/>
    <x v="20"/>
    <x v="2"/>
    <x v="2"/>
    <x v="3"/>
    <x v="0"/>
    <x v="2"/>
    <x v="3"/>
    <x v="3"/>
    <x v="3"/>
    <x v="2"/>
    <x v="2"/>
    <x v="3"/>
    <x v="3"/>
  </r>
  <r>
    <x v="21"/>
    <x v="21"/>
    <x v="4"/>
    <x v="0"/>
    <x v="1"/>
    <x v="10"/>
    <x v="9"/>
    <x v="0"/>
    <x v="0"/>
    <x v="0"/>
    <x v="0"/>
    <x v="4"/>
    <x v="0"/>
    <x v="0"/>
    <x v="0"/>
    <x v="17"/>
    <x v="3"/>
    <x v="21"/>
    <x v="2"/>
    <x v="2"/>
    <x v="1"/>
    <x v="0"/>
    <x v="2"/>
    <x v="3"/>
    <x v="3"/>
    <x v="3"/>
    <x v="2"/>
    <x v="2"/>
    <x v="3"/>
    <x v="3"/>
  </r>
  <r>
    <x v="22"/>
    <x v="15"/>
    <x v="1"/>
    <x v="0"/>
    <x v="10"/>
    <x v="16"/>
    <x v="15"/>
    <x v="2"/>
    <x v="2"/>
    <x v="2"/>
    <x v="3"/>
    <x v="4"/>
    <x v="3"/>
    <x v="2"/>
    <x v="3"/>
    <x v="5"/>
    <x v="2"/>
    <x v="22"/>
    <x v="3"/>
    <x v="0"/>
    <x v="3"/>
    <x v="0"/>
    <x v="0"/>
    <x v="3"/>
    <x v="3"/>
    <x v="3"/>
    <x v="2"/>
    <x v="2"/>
    <x v="3"/>
    <x v="3"/>
  </r>
  <r>
    <x v="23"/>
    <x v="22"/>
    <x v="4"/>
    <x v="4"/>
    <x v="1"/>
    <x v="17"/>
    <x v="16"/>
    <x v="1"/>
    <x v="0"/>
    <x v="0"/>
    <x v="9"/>
    <x v="4"/>
    <x v="9"/>
    <x v="2"/>
    <x v="1"/>
    <x v="1"/>
    <x v="3"/>
    <x v="23"/>
    <x v="3"/>
    <x v="1"/>
    <x v="3"/>
    <x v="2"/>
    <x v="2"/>
    <x v="3"/>
    <x v="3"/>
    <x v="3"/>
    <x v="2"/>
    <x v="2"/>
    <x v="3"/>
    <x v="3"/>
  </r>
  <r>
    <x v="24"/>
    <x v="23"/>
    <x v="3"/>
    <x v="5"/>
    <x v="1"/>
    <x v="18"/>
    <x v="17"/>
    <x v="2"/>
    <x v="0"/>
    <x v="0"/>
    <x v="15"/>
    <x v="2"/>
    <x v="15"/>
    <x v="1"/>
    <x v="14"/>
    <x v="18"/>
    <x v="0"/>
    <x v="24"/>
    <x v="4"/>
    <x v="1"/>
    <x v="3"/>
    <x v="1"/>
    <x v="1"/>
    <x v="3"/>
    <x v="3"/>
    <x v="3"/>
    <x v="2"/>
    <x v="2"/>
    <x v="3"/>
    <x v="3"/>
  </r>
  <r>
    <x v="25"/>
    <x v="24"/>
    <x v="2"/>
    <x v="6"/>
    <x v="1"/>
    <x v="3"/>
    <x v="3"/>
    <x v="0"/>
    <x v="3"/>
    <x v="3"/>
    <x v="16"/>
    <x v="2"/>
    <x v="16"/>
    <x v="2"/>
    <x v="15"/>
    <x v="19"/>
    <x v="1"/>
    <x v="25"/>
    <x v="4"/>
    <x v="1"/>
    <x v="1"/>
    <x v="3"/>
    <x v="2"/>
    <x v="3"/>
    <x v="3"/>
    <x v="3"/>
    <x v="2"/>
    <x v="2"/>
    <x v="3"/>
    <x v="3"/>
  </r>
  <r>
    <x v="26"/>
    <x v="25"/>
    <x v="9"/>
    <x v="0"/>
    <x v="1"/>
    <x v="19"/>
    <x v="18"/>
    <x v="0"/>
    <x v="1"/>
    <x v="1"/>
    <x v="13"/>
    <x v="2"/>
    <x v="13"/>
    <x v="4"/>
    <x v="12"/>
    <x v="14"/>
    <x v="4"/>
    <x v="26"/>
    <x v="3"/>
    <x v="2"/>
    <x v="3"/>
    <x v="0"/>
    <x v="2"/>
    <x v="3"/>
    <x v="3"/>
    <x v="3"/>
    <x v="2"/>
    <x v="2"/>
    <x v="3"/>
    <x v="3"/>
  </r>
  <r>
    <x v="27"/>
    <x v="26"/>
    <x v="2"/>
    <x v="0"/>
    <x v="1"/>
    <x v="19"/>
    <x v="18"/>
    <x v="0"/>
    <x v="1"/>
    <x v="1"/>
    <x v="1"/>
    <x v="3"/>
    <x v="1"/>
    <x v="1"/>
    <x v="1"/>
    <x v="20"/>
    <x v="2"/>
    <x v="27"/>
    <x v="1"/>
    <x v="2"/>
    <x v="3"/>
    <x v="0"/>
    <x v="2"/>
    <x v="3"/>
    <x v="3"/>
    <x v="3"/>
    <x v="2"/>
    <x v="2"/>
    <x v="3"/>
    <x v="3"/>
  </r>
  <r>
    <x v="28"/>
    <x v="27"/>
    <x v="2"/>
    <x v="0"/>
    <x v="11"/>
    <x v="20"/>
    <x v="19"/>
    <x v="2"/>
    <x v="5"/>
    <x v="5"/>
    <x v="5"/>
    <x v="1"/>
    <x v="5"/>
    <x v="0"/>
    <x v="5"/>
    <x v="7"/>
    <x v="2"/>
    <x v="28"/>
    <x v="0"/>
    <x v="0"/>
    <x v="0"/>
    <x v="0"/>
    <x v="0"/>
    <x v="3"/>
    <x v="3"/>
    <x v="3"/>
    <x v="2"/>
    <x v="2"/>
    <x v="3"/>
    <x v="3"/>
  </r>
  <r>
    <x v="29"/>
    <x v="28"/>
    <x v="1"/>
    <x v="0"/>
    <x v="1"/>
    <x v="21"/>
    <x v="20"/>
    <x v="1"/>
    <x v="0"/>
    <x v="6"/>
    <x v="13"/>
    <x v="0"/>
    <x v="13"/>
    <x v="4"/>
    <x v="12"/>
    <x v="21"/>
    <x v="3"/>
    <x v="29"/>
    <x v="3"/>
    <x v="2"/>
    <x v="3"/>
    <x v="0"/>
    <x v="2"/>
    <x v="3"/>
    <x v="3"/>
    <x v="3"/>
    <x v="2"/>
    <x v="2"/>
    <x v="3"/>
    <x v="3"/>
  </r>
  <r>
    <x v="30"/>
    <x v="29"/>
    <x v="10"/>
    <x v="0"/>
    <x v="1"/>
    <x v="22"/>
    <x v="20"/>
    <x v="0"/>
    <x v="4"/>
    <x v="4"/>
    <x v="15"/>
    <x v="0"/>
    <x v="15"/>
    <x v="1"/>
    <x v="14"/>
    <x v="22"/>
    <x v="3"/>
    <x v="30"/>
    <x v="3"/>
    <x v="2"/>
    <x v="2"/>
    <x v="0"/>
    <x v="2"/>
    <x v="3"/>
    <x v="3"/>
    <x v="3"/>
    <x v="2"/>
    <x v="2"/>
    <x v="3"/>
    <x v="3"/>
  </r>
  <r>
    <x v="31"/>
    <x v="30"/>
    <x v="8"/>
    <x v="0"/>
    <x v="12"/>
    <x v="23"/>
    <x v="8"/>
    <x v="0"/>
    <x v="1"/>
    <x v="1"/>
    <x v="17"/>
    <x v="1"/>
    <x v="17"/>
    <x v="4"/>
    <x v="16"/>
    <x v="23"/>
    <x v="3"/>
    <x v="31"/>
    <x v="4"/>
    <x v="0"/>
    <x v="4"/>
    <x v="0"/>
    <x v="0"/>
    <x v="3"/>
    <x v="3"/>
    <x v="3"/>
    <x v="2"/>
    <x v="2"/>
    <x v="3"/>
    <x v="3"/>
  </r>
  <r>
    <x v="32"/>
    <x v="31"/>
    <x v="3"/>
    <x v="7"/>
    <x v="1"/>
    <x v="16"/>
    <x v="15"/>
    <x v="2"/>
    <x v="2"/>
    <x v="2"/>
    <x v="11"/>
    <x v="2"/>
    <x v="11"/>
    <x v="2"/>
    <x v="10"/>
    <x v="12"/>
    <x v="4"/>
    <x v="32"/>
    <x v="0"/>
    <x v="1"/>
    <x v="1"/>
    <x v="4"/>
    <x v="1"/>
    <x v="3"/>
    <x v="3"/>
    <x v="3"/>
    <x v="2"/>
    <x v="2"/>
    <x v="3"/>
    <x v="3"/>
  </r>
  <r>
    <x v="33"/>
    <x v="32"/>
    <x v="4"/>
    <x v="0"/>
    <x v="1"/>
    <x v="15"/>
    <x v="14"/>
    <x v="0"/>
    <x v="1"/>
    <x v="1"/>
    <x v="12"/>
    <x v="2"/>
    <x v="12"/>
    <x v="4"/>
    <x v="11"/>
    <x v="13"/>
    <x v="0"/>
    <x v="33"/>
    <x v="3"/>
    <x v="2"/>
    <x v="0"/>
    <x v="0"/>
    <x v="2"/>
    <x v="3"/>
    <x v="3"/>
    <x v="3"/>
    <x v="2"/>
    <x v="2"/>
    <x v="3"/>
    <x v="3"/>
  </r>
  <r>
    <x v="34"/>
    <x v="33"/>
    <x v="0"/>
    <x v="8"/>
    <x v="1"/>
    <x v="24"/>
    <x v="21"/>
    <x v="1"/>
    <x v="0"/>
    <x v="0"/>
    <x v="18"/>
    <x v="2"/>
    <x v="18"/>
    <x v="3"/>
    <x v="17"/>
    <x v="24"/>
    <x v="0"/>
    <x v="34"/>
    <x v="2"/>
    <x v="1"/>
    <x v="1"/>
    <x v="5"/>
    <x v="2"/>
    <x v="3"/>
    <x v="3"/>
    <x v="3"/>
    <x v="2"/>
    <x v="2"/>
    <x v="3"/>
    <x v="3"/>
  </r>
  <r>
    <x v="35"/>
    <x v="34"/>
    <x v="7"/>
    <x v="0"/>
    <x v="1"/>
    <x v="22"/>
    <x v="20"/>
    <x v="0"/>
    <x v="4"/>
    <x v="4"/>
    <x v="19"/>
    <x v="0"/>
    <x v="19"/>
    <x v="0"/>
    <x v="18"/>
    <x v="25"/>
    <x v="2"/>
    <x v="35"/>
    <x v="3"/>
    <x v="2"/>
    <x v="2"/>
    <x v="0"/>
    <x v="2"/>
    <x v="3"/>
    <x v="3"/>
    <x v="3"/>
    <x v="2"/>
    <x v="2"/>
    <x v="3"/>
    <x v="3"/>
  </r>
  <r>
    <x v="36"/>
    <x v="35"/>
    <x v="2"/>
    <x v="9"/>
    <x v="1"/>
    <x v="2"/>
    <x v="2"/>
    <x v="1"/>
    <x v="2"/>
    <x v="2"/>
    <x v="15"/>
    <x v="1"/>
    <x v="15"/>
    <x v="1"/>
    <x v="14"/>
    <x v="26"/>
    <x v="1"/>
    <x v="36"/>
    <x v="1"/>
    <x v="1"/>
    <x v="3"/>
    <x v="6"/>
    <x v="2"/>
    <x v="3"/>
    <x v="3"/>
    <x v="3"/>
    <x v="2"/>
    <x v="2"/>
    <x v="3"/>
    <x v="3"/>
  </r>
  <r>
    <x v="37"/>
    <x v="36"/>
    <x v="5"/>
    <x v="0"/>
    <x v="13"/>
    <x v="17"/>
    <x v="16"/>
    <x v="1"/>
    <x v="0"/>
    <x v="0"/>
    <x v="20"/>
    <x v="0"/>
    <x v="20"/>
    <x v="1"/>
    <x v="19"/>
    <x v="27"/>
    <x v="4"/>
    <x v="37"/>
    <x v="4"/>
    <x v="0"/>
    <x v="4"/>
    <x v="0"/>
    <x v="0"/>
    <x v="3"/>
    <x v="3"/>
    <x v="3"/>
    <x v="2"/>
    <x v="2"/>
    <x v="3"/>
    <x v="3"/>
  </r>
  <r>
    <x v="38"/>
    <x v="37"/>
    <x v="0"/>
    <x v="0"/>
    <x v="1"/>
    <x v="25"/>
    <x v="11"/>
    <x v="1"/>
    <x v="1"/>
    <x v="1"/>
    <x v="16"/>
    <x v="1"/>
    <x v="16"/>
    <x v="2"/>
    <x v="15"/>
    <x v="28"/>
    <x v="4"/>
    <x v="38"/>
    <x v="0"/>
    <x v="2"/>
    <x v="0"/>
    <x v="0"/>
    <x v="2"/>
    <x v="3"/>
    <x v="3"/>
    <x v="3"/>
    <x v="2"/>
    <x v="2"/>
    <x v="3"/>
    <x v="3"/>
  </r>
  <r>
    <x v="39"/>
    <x v="38"/>
    <x v="0"/>
    <x v="0"/>
    <x v="1"/>
    <x v="26"/>
    <x v="6"/>
    <x v="2"/>
    <x v="4"/>
    <x v="4"/>
    <x v="21"/>
    <x v="1"/>
    <x v="21"/>
    <x v="1"/>
    <x v="20"/>
    <x v="29"/>
    <x v="1"/>
    <x v="39"/>
    <x v="4"/>
    <x v="2"/>
    <x v="2"/>
    <x v="0"/>
    <x v="2"/>
    <x v="3"/>
    <x v="3"/>
    <x v="3"/>
    <x v="2"/>
    <x v="2"/>
    <x v="3"/>
    <x v="3"/>
  </r>
  <r>
    <x v="40"/>
    <x v="39"/>
    <x v="11"/>
    <x v="10"/>
    <x v="1"/>
    <x v="27"/>
    <x v="22"/>
    <x v="1"/>
    <x v="6"/>
    <x v="7"/>
    <x v="18"/>
    <x v="4"/>
    <x v="18"/>
    <x v="3"/>
    <x v="17"/>
    <x v="30"/>
    <x v="1"/>
    <x v="40"/>
    <x v="0"/>
    <x v="1"/>
    <x v="2"/>
    <x v="7"/>
    <x v="2"/>
    <x v="3"/>
    <x v="3"/>
    <x v="3"/>
    <x v="2"/>
    <x v="2"/>
    <x v="3"/>
    <x v="3"/>
  </r>
  <r>
    <x v="41"/>
    <x v="40"/>
    <x v="7"/>
    <x v="11"/>
    <x v="1"/>
    <x v="20"/>
    <x v="19"/>
    <x v="2"/>
    <x v="5"/>
    <x v="5"/>
    <x v="21"/>
    <x v="4"/>
    <x v="21"/>
    <x v="1"/>
    <x v="20"/>
    <x v="31"/>
    <x v="2"/>
    <x v="41"/>
    <x v="0"/>
    <x v="1"/>
    <x v="2"/>
    <x v="1"/>
    <x v="1"/>
    <x v="3"/>
    <x v="3"/>
    <x v="3"/>
    <x v="2"/>
    <x v="2"/>
    <x v="3"/>
    <x v="3"/>
  </r>
  <r>
    <x v="42"/>
    <x v="41"/>
    <x v="1"/>
    <x v="0"/>
    <x v="14"/>
    <x v="18"/>
    <x v="17"/>
    <x v="2"/>
    <x v="0"/>
    <x v="0"/>
    <x v="5"/>
    <x v="4"/>
    <x v="5"/>
    <x v="0"/>
    <x v="5"/>
    <x v="32"/>
    <x v="2"/>
    <x v="42"/>
    <x v="4"/>
    <x v="0"/>
    <x v="1"/>
    <x v="0"/>
    <x v="0"/>
    <x v="3"/>
    <x v="3"/>
    <x v="3"/>
    <x v="2"/>
    <x v="2"/>
    <x v="3"/>
    <x v="3"/>
  </r>
  <r>
    <x v="43"/>
    <x v="42"/>
    <x v="0"/>
    <x v="0"/>
    <x v="15"/>
    <x v="26"/>
    <x v="6"/>
    <x v="2"/>
    <x v="4"/>
    <x v="4"/>
    <x v="21"/>
    <x v="3"/>
    <x v="21"/>
    <x v="1"/>
    <x v="20"/>
    <x v="29"/>
    <x v="0"/>
    <x v="43"/>
    <x v="0"/>
    <x v="0"/>
    <x v="3"/>
    <x v="0"/>
    <x v="0"/>
    <x v="3"/>
    <x v="3"/>
    <x v="3"/>
    <x v="2"/>
    <x v="2"/>
    <x v="3"/>
    <x v="3"/>
  </r>
  <r>
    <x v="44"/>
    <x v="43"/>
    <x v="8"/>
    <x v="0"/>
    <x v="16"/>
    <x v="5"/>
    <x v="5"/>
    <x v="2"/>
    <x v="0"/>
    <x v="0"/>
    <x v="7"/>
    <x v="3"/>
    <x v="7"/>
    <x v="0"/>
    <x v="7"/>
    <x v="33"/>
    <x v="3"/>
    <x v="44"/>
    <x v="3"/>
    <x v="0"/>
    <x v="4"/>
    <x v="0"/>
    <x v="0"/>
    <x v="3"/>
    <x v="3"/>
    <x v="3"/>
    <x v="2"/>
    <x v="2"/>
    <x v="3"/>
    <x v="3"/>
  </r>
  <r>
    <x v="45"/>
    <x v="44"/>
    <x v="0"/>
    <x v="12"/>
    <x v="1"/>
    <x v="28"/>
    <x v="23"/>
    <x v="0"/>
    <x v="0"/>
    <x v="0"/>
    <x v="10"/>
    <x v="0"/>
    <x v="10"/>
    <x v="3"/>
    <x v="9"/>
    <x v="34"/>
    <x v="1"/>
    <x v="45"/>
    <x v="1"/>
    <x v="1"/>
    <x v="3"/>
    <x v="5"/>
    <x v="2"/>
    <x v="3"/>
    <x v="3"/>
    <x v="3"/>
    <x v="2"/>
    <x v="2"/>
    <x v="3"/>
    <x v="3"/>
  </r>
  <r>
    <x v="46"/>
    <x v="45"/>
    <x v="7"/>
    <x v="13"/>
    <x v="1"/>
    <x v="14"/>
    <x v="13"/>
    <x v="1"/>
    <x v="0"/>
    <x v="0"/>
    <x v="4"/>
    <x v="0"/>
    <x v="4"/>
    <x v="3"/>
    <x v="4"/>
    <x v="35"/>
    <x v="0"/>
    <x v="46"/>
    <x v="2"/>
    <x v="1"/>
    <x v="3"/>
    <x v="1"/>
    <x v="1"/>
    <x v="3"/>
    <x v="3"/>
    <x v="3"/>
    <x v="2"/>
    <x v="2"/>
    <x v="3"/>
    <x v="3"/>
  </r>
  <r>
    <x v="47"/>
    <x v="46"/>
    <x v="2"/>
    <x v="14"/>
    <x v="1"/>
    <x v="2"/>
    <x v="2"/>
    <x v="1"/>
    <x v="2"/>
    <x v="2"/>
    <x v="9"/>
    <x v="1"/>
    <x v="9"/>
    <x v="2"/>
    <x v="1"/>
    <x v="20"/>
    <x v="0"/>
    <x v="47"/>
    <x v="3"/>
    <x v="1"/>
    <x v="4"/>
    <x v="6"/>
    <x v="2"/>
    <x v="3"/>
    <x v="3"/>
    <x v="3"/>
    <x v="2"/>
    <x v="2"/>
    <x v="3"/>
    <x v="3"/>
  </r>
  <r>
    <x v="48"/>
    <x v="47"/>
    <x v="3"/>
    <x v="0"/>
    <x v="1"/>
    <x v="29"/>
    <x v="0"/>
    <x v="0"/>
    <x v="3"/>
    <x v="3"/>
    <x v="10"/>
    <x v="2"/>
    <x v="10"/>
    <x v="3"/>
    <x v="9"/>
    <x v="34"/>
    <x v="3"/>
    <x v="48"/>
    <x v="0"/>
    <x v="2"/>
    <x v="3"/>
    <x v="0"/>
    <x v="2"/>
    <x v="3"/>
    <x v="3"/>
    <x v="3"/>
    <x v="2"/>
    <x v="2"/>
    <x v="3"/>
    <x v="3"/>
  </r>
  <r>
    <x v="49"/>
    <x v="48"/>
    <x v="1"/>
    <x v="15"/>
    <x v="1"/>
    <x v="18"/>
    <x v="17"/>
    <x v="2"/>
    <x v="0"/>
    <x v="0"/>
    <x v="11"/>
    <x v="1"/>
    <x v="11"/>
    <x v="2"/>
    <x v="10"/>
    <x v="12"/>
    <x v="2"/>
    <x v="15"/>
    <x v="3"/>
    <x v="1"/>
    <x v="2"/>
    <x v="7"/>
    <x v="2"/>
    <x v="3"/>
    <x v="3"/>
    <x v="3"/>
    <x v="2"/>
    <x v="2"/>
    <x v="3"/>
    <x v="3"/>
  </r>
  <r>
    <x v="50"/>
    <x v="20"/>
    <x v="2"/>
    <x v="0"/>
    <x v="1"/>
    <x v="14"/>
    <x v="13"/>
    <x v="1"/>
    <x v="0"/>
    <x v="0"/>
    <x v="5"/>
    <x v="0"/>
    <x v="5"/>
    <x v="0"/>
    <x v="5"/>
    <x v="7"/>
    <x v="0"/>
    <x v="49"/>
    <x v="0"/>
    <x v="2"/>
    <x v="2"/>
    <x v="0"/>
    <x v="2"/>
    <x v="3"/>
    <x v="3"/>
    <x v="3"/>
    <x v="2"/>
    <x v="2"/>
    <x v="3"/>
    <x v="3"/>
  </r>
  <r>
    <x v="51"/>
    <x v="49"/>
    <x v="9"/>
    <x v="16"/>
    <x v="1"/>
    <x v="21"/>
    <x v="20"/>
    <x v="1"/>
    <x v="0"/>
    <x v="6"/>
    <x v="12"/>
    <x v="0"/>
    <x v="12"/>
    <x v="4"/>
    <x v="11"/>
    <x v="36"/>
    <x v="0"/>
    <x v="50"/>
    <x v="4"/>
    <x v="1"/>
    <x v="4"/>
    <x v="1"/>
    <x v="1"/>
    <x v="3"/>
    <x v="3"/>
    <x v="3"/>
    <x v="2"/>
    <x v="2"/>
    <x v="3"/>
    <x v="3"/>
  </r>
  <r>
    <x v="52"/>
    <x v="9"/>
    <x v="0"/>
    <x v="17"/>
    <x v="1"/>
    <x v="13"/>
    <x v="12"/>
    <x v="1"/>
    <x v="1"/>
    <x v="1"/>
    <x v="19"/>
    <x v="3"/>
    <x v="19"/>
    <x v="0"/>
    <x v="18"/>
    <x v="37"/>
    <x v="3"/>
    <x v="51"/>
    <x v="2"/>
    <x v="1"/>
    <x v="0"/>
    <x v="2"/>
    <x v="2"/>
    <x v="3"/>
    <x v="3"/>
    <x v="3"/>
    <x v="2"/>
    <x v="2"/>
    <x v="3"/>
    <x v="3"/>
  </r>
  <r>
    <x v="53"/>
    <x v="50"/>
    <x v="10"/>
    <x v="0"/>
    <x v="17"/>
    <x v="19"/>
    <x v="18"/>
    <x v="0"/>
    <x v="1"/>
    <x v="1"/>
    <x v="21"/>
    <x v="0"/>
    <x v="21"/>
    <x v="1"/>
    <x v="20"/>
    <x v="19"/>
    <x v="0"/>
    <x v="37"/>
    <x v="0"/>
    <x v="0"/>
    <x v="1"/>
    <x v="0"/>
    <x v="0"/>
    <x v="3"/>
    <x v="3"/>
    <x v="3"/>
    <x v="2"/>
    <x v="2"/>
    <x v="3"/>
    <x v="3"/>
  </r>
  <r>
    <x v="54"/>
    <x v="4"/>
    <x v="1"/>
    <x v="18"/>
    <x v="1"/>
    <x v="23"/>
    <x v="8"/>
    <x v="0"/>
    <x v="1"/>
    <x v="1"/>
    <x v="5"/>
    <x v="3"/>
    <x v="5"/>
    <x v="0"/>
    <x v="5"/>
    <x v="32"/>
    <x v="1"/>
    <x v="52"/>
    <x v="2"/>
    <x v="1"/>
    <x v="3"/>
    <x v="5"/>
    <x v="2"/>
    <x v="3"/>
    <x v="3"/>
    <x v="3"/>
    <x v="2"/>
    <x v="2"/>
    <x v="3"/>
    <x v="3"/>
  </r>
  <r>
    <x v="55"/>
    <x v="51"/>
    <x v="2"/>
    <x v="6"/>
    <x v="1"/>
    <x v="30"/>
    <x v="14"/>
    <x v="1"/>
    <x v="0"/>
    <x v="0"/>
    <x v="21"/>
    <x v="4"/>
    <x v="21"/>
    <x v="1"/>
    <x v="20"/>
    <x v="38"/>
    <x v="0"/>
    <x v="53"/>
    <x v="3"/>
    <x v="1"/>
    <x v="4"/>
    <x v="2"/>
    <x v="2"/>
    <x v="3"/>
    <x v="3"/>
    <x v="3"/>
    <x v="2"/>
    <x v="2"/>
    <x v="3"/>
    <x v="3"/>
  </r>
  <r>
    <x v="56"/>
    <x v="52"/>
    <x v="9"/>
    <x v="19"/>
    <x v="1"/>
    <x v="15"/>
    <x v="14"/>
    <x v="0"/>
    <x v="1"/>
    <x v="1"/>
    <x v="11"/>
    <x v="3"/>
    <x v="11"/>
    <x v="2"/>
    <x v="10"/>
    <x v="39"/>
    <x v="0"/>
    <x v="54"/>
    <x v="0"/>
    <x v="1"/>
    <x v="0"/>
    <x v="1"/>
    <x v="1"/>
    <x v="3"/>
    <x v="3"/>
    <x v="3"/>
    <x v="2"/>
    <x v="2"/>
    <x v="3"/>
    <x v="3"/>
  </r>
  <r>
    <x v="57"/>
    <x v="53"/>
    <x v="3"/>
    <x v="0"/>
    <x v="1"/>
    <x v="0"/>
    <x v="0"/>
    <x v="0"/>
    <x v="0"/>
    <x v="0"/>
    <x v="17"/>
    <x v="0"/>
    <x v="17"/>
    <x v="4"/>
    <x v="16"/>
    <x v="23"/>
    <x v="3"/>
    <x v="31"/>
    <x v="1"/>
    <x v="2"/>
    <x v="4"/>
    <x v="0"/>
    <x v="2"/>
    <x v="3"/>
    <x v="3"/>
    <x v="3"/>
    <x v="2"/>
    <x v="2"/>
    <x v="3"/>
    <x v="3"/>
  </r>
  <r>
    <x v="58"/>
    <x v="54"/>
    <x v="6"/>
    <x v="0"/>
    <x v="18"/>
    <x v="31"/>
    <x v="24"/>
    <x v="2"/>
    <x v="0"/>
    <x v="0"/>
    <x v="2"/>
    <x v="0"/>
    <x v="2"/>
    <x v="0"/>
    <x v="2"/>
    <x v="40"/>
    <x v="1"/>
    <x v="55"/>
    <x v="2"/>
    <x v="0"/>
    <x v="4"/>
    <x v="0"/>
    <x v="0"/>
    <x v="3"/>
    <x v="3"/>
    <x v="3"/>
    <x v="2"/>
    <x v="2"/>
    <x v="3"/>
    <x v="3"/>
  </r>
  <r>
    <x v="59"/>
    <x v="2"/>
    <x v="2"/>
    <x v="0"/>
    <x v="19"/>
    <x v="6"/>
    <x v="6"/>
    <x v="2"/>
    <x v="3"/>
    <x v="3"/>
    <x v="6"/>
    <x v="4"/>
    <x v="6"/>
    <x v="2"/>
    <x v="6"/>
    <x v="0"/>
    <x v="3"/>
    <x v="56"/>
    <x v="0"/>
    <x v="0"/>
    <x v="1"/>
    <x v="0"/>
    <x v="0"/>
    <x v="3"/>
    <x v="3"/>
    <x v="3"/>
    <x v="2"/>
    <x v="2"/>
    <x v="3"/>
    <x v="3"/>
  </r>
  <r>
    <x v="60"/>
    <x v="55"/>
    <x v="11"/>
    <x v="0"/>
    <x v="1"/>
    <x v="32"/>
    <x v="25"/>
    <x v="1"/>
    <x v="1"/>
    <x v="1"/>
    <x v="13"/>
    <x v="1"/>
    <x v="13"/>
    <x v="4"/>
    <x v="12"/>
    <x v="21"/>
    <x v="1"/>
    <x v="57"/>
    <x v="4"/>
    <x v="2"/>
    <x v="0"/>
    <x v="0"/>
    <x v="2"/>
    <x v="3"/>
    <x v="3"/>
    <x v="3"/>
    <x v="2"/>
    <x v="2"/>
    <x v="3"/>
    <x v="3"/>
  </r>
  <r>
    <x v="61"/>
    <x v="56"/>
    <x v="4"/>
    <x v="20"/>
    <x v="1"/>
    <x v="33"/>
    <x v="15"/>
    <x v="0"/>
    <x v="1"/>
    <x v="1"/>
    <x v="14"/>
    <x v="0"/>
    <x v="14"/>
    <x v="3"/>
    <x v="13"/>
    <x v="41"/>
    <x v="1"/>
    <x v="58"/>
    <x v="1"/>
    <x v="1"/>
    <x v="1"/>
    <x v="7"/>
    <x v="2"/>
    <x v="3"/>
    <x v="3"/>
    <x v="3"/>
    <x v="2"/>
    <x v="2"/>
    <x v="3"/>
    <x v="3"/>
  </r>
  <r>
    <x v="62"/>
    <x v="57"/>
    <x v="3"/>
    <x v="0"/>
    <x v="1"/>
    <x v="34"/>
    <x v="5"/>
    <x v="2"/>
    <x v="5"/>
    <x v="5"/>
    <x v="11"/>
    <x v="1"/>
    <x v="11"/>
    <x v="2"/>
    <x v="10"/>
    <x v="12"/>
    <x v="0"/>
    <x v="14"/>
    <x v="4"/>
    <x v="2"/>
    <x v="3"/>
    <x v="0"/>
    <x v="2"/>
    <x v="3"/>
    <x v="3"/>
    <x v="3"/>
    <x v="2"/>
    <x v="2"/>
    <x v="3"/>
    <x v="3"/>
  </r>
  <r>
    <x v="63"/>
    <x v="38"/>
    <x v="0"/>
    <x v="21"/>
    <x v="1"/>
    <x v="35"/>
    <x v="5"/>
    <x v="1"/>
    <x v="4"/>
    <x v="4"/>
    <x v="7"/>
    <x v="4"/>
    <x v="7"/>
    <x v="0"/>
    <x v="7"/>
    <x v="42"/>
    <x v="3"/>
    <x v="59"/>
    <x v="0"/>
    <x v="1"/>
    <x v="1"/>
    <x v="5"/>
    <x v="2"/>
    <x v="3"/>
    <x v="3"/>
    <x v="3"/>
    <x v="2"/>
    <x v="2"/>
    <x v="3"/>
    <x v="3"/>
  </r>
  <r>
    <x v="64"/>
    <x v="51"/>
    <x v="2"/>
    <x v="0"/>
    <x v="20"/>
    <x v="4"/>
    <x v="4"/>
    <x v="1"/>
    <x v="3"/>
    <x v="3"/>
    <x v="13"/>
    <x v="2"/>
    <x v="13"/>
    <x v="4"/>
    <x v="12"/>
    <x v="21"/>
    <x v="2"/>
    <x v="60"/>
    <x v="2"/>
    <x v="0"/>
    <x v="3"/>
    <x v="0"/>
    <x v="0"/>
    <x v="3"/>
    <x v="3"/>
    <x v="3"/>
    <x v="2"/>
    <x v="2"/>
    <x v="3"/>
    <x v="3"/>
  </r>
  <r>
    <x v="65"/>
    <x v="58"/>
    <x v="3"/>
    <x v="0"/>
    <x v="21"/>
    <x v="4"/>
    <x v="4"/>
    <x v="1"/>
    <x v="3"/>
    <x v="3"/>
    <x v="6"/>
    <x v="4"/>
    <x v="6"/>
    <x v="2"/>
    <x v="6"/>
    <x v="22"/>
    <x v="0"/>
    <x v="61"/>
    <x v="0"/>
    <x v="0"/>
    <x v="0"/>
    <x v="0"/>
    <x v="0"/>
    <x v="3"/>
    <x v="3"/>
    <x v="3"/>
    <x v="2"/>
    <x v="2"/>
    <x v="3"/>
    <x v="3"/>
  </r>
  <r>
    <x v="66"/>
    <x v="59"/>
    <x v="7"/>
    <x v="22"/>
    <x v="1"/>
    <x v="36"/>
    <x v="26"/>
    <x v="3"/>
    <x v="7"/>
    <x v="8"/>
    <x v="20"/>
    <x v="0"/>
    <x v="20"/>
    <x v="1"/>
    <x v="19"/>
    <x v="43"/>
    <x v="1"/>
    <x v="62"/>
    <x v="1"/>
    <x v="1"/>
    <x v="2"/>
    <x v="1"/>
    <x v="1"/>
    <x v="3"/>
    <x v="3"/>
    <x v="3"/>
    <x v="2"/>
    <x v="2"/>
    <x v="3"/>
    <x v="3"/>
  </r>
  <r>
    <x v="67"/>
    <x v="42"/>
    <x v="0"/>
    <x v="0"/>
    <x v="1"/>
    <x v="9"/>
    <x v="8"/>
    <x v="0"/>
    <x v="0"/>
    <x v="0"/>
    <x v="4"/>
    <x v="4"/>
    <x v="4"/>
    <x v="3"/>
    <x v="4"/>
    <x v="35"/>
    <x v="2"/>
    <x v="63"/>
    <x v="1"/>
    <x v="2"/>
    <x v="2"/>
    <x v="0"/>
    <x v="2"/>
    <x v="3"/>
    <x v="3"/>
    <x v="3"/>
    <x v="2"/>
    <x v="2"/>
    <x v="3"/>
    <x v="3"/>
  </r>
  <r>
    <x v="68"/>
    <x v="60"/>
    <x v="7"/>
    <x v="0"/>
    <x v="22"/>
    <x v="2"/>
    <x v="2"/>
    <x v="1"/>
    <x v="2"/>
    <x v="2"/>
    <x v="3"/>
    <x v="1"/>
    <x v="3"/>
    <x v="2"/>
    <x v="3"/>
    <x v="5"/>
    <x v="4"/>
    <x v="64"/>
    <x v="0"/>
    <x v="0"/>
    <x v="1"/>
    <x v="0"/>
    <x v="0"/>
    <x v="3"/>
    <x v="3"/>
    <x v="3"/>
    <x v="2"/>
    <x v="2"/>
    <x v="3"/>
    <x v="3"/>
  </r>
  <r>
    <x v="69"/>
    <x v="26"/>
    <x v="2"/>
    <x v="0"/>
    <x v="11"/>
    <x v="4"/>
    <x v="4"/>
    <x v="1"/>
    <x v="3"/>
    <x v="3"/>
    <x v="21"/>
    <x v="4"/>
    <x v="21"/>
    <x v="1"/>
    <x v="20"/>
    <x v="29"/>
    <x v="4"/>
    <x v="62"/>
    <x v="4"/>
    <x v="0"/>
    <x v="0"/>
    <x v="0"/>
    <x v="0"/>
    <x v="3"/>
    <x v="3"/>
    <x v="3"/>
    <x v="2"/>
    <x v="2"/>
    <x v="3"/>
    <x v="3"/>
  </r>
  <r>
    <x v="70"/>
    <x v="42"/>
    <x v="0"/>
    <x v="23"/>
    <x v="1"/>
    <x v="26"/>
    <x v="6"/>
    <x v="2"/>
    <x v="4"/>
    <x v="4"/>
    <x v="6"/>
    <x v="1"/>
    <x v="6"/>
    <x v="2"/>
    <x v="6"/>
    <x v="18"/>
    <x v="0"/>
    <x v="24"/>
    <x v="1"/>
    <x v="1"/>
    <x v="3"/>
    <x v="7"/>
    <x v="2"/>
    <x v="3"/>
    <x v="3"/>
    <x v="3"/>
    <x v="2"/>
    <x v="2"/>
    <x v="3"/>
    <x v="3"/>
  </r>
  <r>
    <x v="71"/>
    <x v="61"/>
    <x v="10"/>
    <x v="0"/>
    <x v="1"/>
    <x v="33"/>
    <x v="15"/>
    <x v="0"/>
    <x v="1"/>
    <x v="1"/>
    <x v="21"/>
    <x v="1"/>
    <x v="21"/>
    <x v="1"/>
    <x v="20"/>
    <x v="29"/>
    <x v="1"/>
    <x v="39"/>
    <x v="4"/>
    <x v="2"/>
    <x v="3"/>
    <x v="0"/>
    <x v="2"/>
    <x v="3"/>
    <x v="3"/>
    <x v="3"/>
    <x v="2"/>
    <x v="2"/>
    <x v="3"/>
    <x v="3"/>
  </r>
  <r>
    <x v="72"/>
    <x v="62"/>
    <x v="7"/>
    <x v="0"/>
    <x v="23"/>
    <x v="17"/>
    <x v="16"/>
    <x v="1"/>
    <x v="0"/>
    <x v="0"/>
    <x v="9"/>
    <x v="0"/>
    <x v="9"/>
    <x v="2"/>
    <x v="1"/>
    <x v="44"/>
    <x v="4"/>
    <x v="65"/>
    <x v="2"/>
    <x v="0"/>
    <x v="2"/>
    <x v="0"/>
    <x v="0"/>
    <x v="3"/>
    <x v="3"/>
    <x v="3"/>
    <x v="2"/>
    <x v="2"/>
    <x v="3"/>
    <x v="3"/>
  </r>
  <r>
    <x v="73"/>
    <x v="63"/>
    <x v="9"/>
    <x v="24"/>
    <x v="1"/>
    <x v="16"/>
    <x v="15"/>
    <x v="2"/>
    <x v="2"/>
    <x v="2"/>
    <x v="5"/>
    <x v="3"/>
    <x v="5"/>
    <x v="0"/>
    <x v="5"/>
    <x v="32"/>
    <x v="1"/>
    <x v="52"/>
    <x v="0"/>
    <x v="1"/>
    <x v="4"/>
    <x v="3"/>
    <x v="2"/>
    <x v="3"/>
    <x v="3"/>
    <x v="3"/>
    <x v="2"/>
    <x v="2"/>
    <x v="3"/>
    <x v="3"/>
  </r>
  <r>
    <x v="74"/>
    <x v="64"/>
    <x v="3"/>
    <x v="0"/>
    <x v="1"/>
    <x v="5"/>
    <x v="5"/>
    <x v="2"/>
    <x v="0"/>
    <x v="0"/>
    <x v="10"/>
    <x v="1"/>
    <x v="10"/>
    <x v="3"/>
    <x v="9"/>
    <x v="34"/>
    <x v="3"/>
    <x v="48"/>
    <x v="0"/>
    <x v="2"/>
    <x v="0"/>
    <x v="0"/>
    <x v="2"/>
    <x v="3"/>
    <x v="3"/>
    <x v="3"/>
    <x v="2"/>
    <x v="2"/>
    <x v="3"/>
    <x v="3"/>
  </r>
  <r>
    <x v="75"/>
    <x v="65"/>
    <x v="11"/>
    <x v="25"/>
    <x v="1"/>
    <x v="10"/>
    <x v="9"/>
    <x v="0"/>
    <x v="0"/>
    <x v="0"/>
    <x v="6"/>
    <x v="0"/>
    <x v="6"/>
    <x v="2"/>
    <x v="6"/>
    <x v="18"/>
    <x v="1"/>
    <x v="34"/>
    <x v="4"/>
    <x v="1"/>
    <x v="0"/>
    <x v="3"/>
    <x v="2"/>
    <x v="3"/>
    <x v="3"/>
    <x v="3"/>
    <x v="2"/>
    <x v="2"/>
    <x v="3"/>
    <x v="3"/>
  </r>
  <r>
    <x v="76"/>
    <x v="22"/>
    <x v="4"/>
    <x v="26"/>
    <x v="1"/>
    <x v="34"/>
    <x v="5"/>
    <x v="2"/>
    <x v="5"/>
    <x v="5"/>
    <x v="19"/>
    <x v="4"/>
    <x v="19"/>
    <x v="0"/>
    <x v="18"/>
    <x v="45"/>
    <x v="3"/>
    <x v="66"/>
    <x v="4"/>
    <x v="1"/>
    <x v="2"/>
    <x v="1"/>
    <x v="1"/>
    <x v="3"/>
    <x v="3"/>
    <x v="3"/>
    <x v="2"/>
    <x v="2"/>
    <x v="3"/>
    <x v="3"/>
  </r>
  <r>
    <x v="77"/>
    <x v="66"/>
    <x v="0"/>
    <x v="0"/>
    <x v="24"/>
    <x v="35"/>
    <x v="5"/>
    <x v="1"/>
    <x v="4"/>
    <x v="4"/>
    <x v="15"/>
    <x v="3"/>
    <x v="15"/>
    <x v="1"/>
    <x v="14"/>
    <x v="22"/>
    <x v="4"/>
    <x v="20"/>
    <x v="0"/>
    <x v="0"/>
    <x v="2"/>
    <x v="0"/>
    <x v="0"/>
    <x v="3"/>
    <x v="3"/>
    <x v="3"/>
    <x v="2"/>
    <x v="2"/>
    <x v="3"/>
    <x v="3"/>
  </r>
  <r>
    <x v="78"/>
    <x v="7"/>
    <x v="6"/>
    <x v="0"/>
    <x v="1"/>
    <x v="35"/>
    <x v="5"/>
    <x v="1"/>
    <x v="4"/>
    <x v="4"/>
    <x v="0"/>
    <x v="0"/>
    <x v="0"/>
    <x v="0"/>
    <x v="0"/>
    <x v="17"/>
    <x v="0"/>
    <x v="67"/>
    <x v="3"/>
    <x v="2"/>
    <x v="2"/>
    <x v="0"/>
    <x v="2"/>
    <x v="3"/>
    <x v="3"/>
    <x v="3"/>
    <x v="2"/>
    <x v="2"/>
    <x v="3"/>
    <x v="3"/>
  </r>
  <r>
    <x v="79"/>
    <x v="67"/>
    <x v="2"/>
    <x v="27"/>
    <x v="1"/>
    <x v="24"/>
    <x v="21"/>
    <x v="1"/>
    <x v="0"/>
    <x v="0"/>
    <x v="1"/>
    <x v="1"/>
    <x v="1"/>
    <x v="1"/>
    <x v="1"/>
    <x v="44"/>
    <x v="1"/>
    <x v="68"/>
    <x v="1"/>
    <x v="1"/>
    <x v="2"/>
    <x v="2"/>
    <x v="2"/>
    <x v="3"/>
    <x v="3"/>
    <x v="3"/>
    <x v="2"/>
    <x v="2"/>
    <x v="3"/>
    <x v="3"/>
  </r>
  <r>
    <x v="80"/>
    <x v="68"/>
    <x v="4"/>
    <x v="0"/>
    <x v="1"/>
    <x v="27"/>
    <x v="22"/>
    <x v="1"/>
    <x v="6"/>
    <x v="7"/>
    <x v="18"/>
    <x v="4"/>
    <x v="18"/>
    <x v="3"/>
    <x v="17"/>
    <x v="46"/>
    <x v="4"/>
    <x v="69"/>
    <x v="2"/>
    <x v="2"/>
    <x v="2"/>
    <x v="0"/>
    <x v="2"/>
    <x v="3"/>
    <x v="3"/>
    <x v="3"/>
    <x v="2"/>
    <x v="2"/>
    <x v="3"/>
    <x v="3"/>
  </r>
  <r>
    <x v="81"/>
    <x v="30"/>
    <x v="8"/>
    <x v="0"/>
    <x v="25"/>
    <x v="8"/>
    <x v="8"/>
    <x v="2"/>
    <x v="4"/>
    <x v="4"/>
    <x v="11"/>
    <x v="0"/>
    <x v="11"/>
    <x v="2"/>
    <x v="10"/>
    <x v="12"/>
    <x v="3"/>
    <x v="70"/>
    <x v="1"/>
    <x v="0"/>
    <x v="3"/>
    <x v="0"/>
    <x v="0"/>
    <x v="3"/>
    <x v="3"/>
    <x v="3"/>
    <x v="2"/>
    <x v="2"/>
    <x v="3"/>
    <x v="3"/>
  </r>
  <r>
    <x v="82"/>
    <x v="69"/>
    <x v="2"/>
    <x v="28"/>
    <x v="1"/>
    <x v="0"/>
    <x v="0"/>
    <x v="0"/>
    <x v="0"/>
    <x v="0"/>
    <x v="11"/>
    <x v="2"/>
    <x v="11"/>
    <x v="2"/>
    <x v="10"/>
    <x v="12"/>
    <x v="1"/>
    <x v="42"/>
    <x v="2"/>
    <x v="1"/>
    <x v="1"/>
    <x v="1"/>
    <x v="1"/>
    <x v="3"/>
    <x v="3"/>
    <x v="3"/>
    <x v="2"/>
    <x v="2"/>
    <x v="3"/>
    <x v="3"/>
  </r>
  <r>
    <x v="83"/>
    <x v="33"/>
    <x v="0"/>
    <x v="0"/>
    <x v="1"/>
    <x v="37"/>
    <x v="1"/>
    <x v="0"/>
    <x v="2"/>
    <x v="2"/>
    <x v="16"/>
    <x v="2"/>
    <x v="16"/>
    <x v="2"/>
    <x v="15"/>
    <x v="38"/>
    <x v="4"/>
    <x v="71"/>
    <x v="2"/>
    <x v="2"/>
    <x v="0"/>
    <x v="0"/>
    <x v="2"/>
    <x v="3"/>
    <x v="3"/>
    <x v="3"/>
    <x v="2"/>
    <x v="2"/>
    <x v="3"/>
    <x v="3"/>
  </r>
  <r>
    <x v="84"/>
    <x v="61"/>
    <x v="10"/>
    <x v="0"/>
    <x v="1"/>
    <x v="9"/>
    <x v="8"/>
    <x v="0"/>
    <x v="0"/>
    <x v="0"/>
    <x v="6"/>
    <x v="1"/>
    <x v="6"/>
    <x v="2"/>
    <x v="6"/>
    <x v="18"/>
    <x v="3"/>
    <x v="72"/>
    <x v="4"/>
    <x v="2"/>
    <x v="0"/>
    <x v="0"/>
    <x v="2"/>
    <x v="3"/>
    <x v="3"/>
    <x v="3"/>
    <x v="2"/>
    <x v="2"/>
    <x v="3"/>
    <x v="3"/>
  </r>
  <r>
    <x v="85"/>
    <x v="70"/>
    <x v="4"/>
    <x v="0"/>
    <x v="1"/>
    <x v="20"/>
    <x v="19"/>
    <x v="2"/>
    <x v="5"/>
    <x v="5"/>
    <x v="19"/>
    <x v="4"/>
    <x v="19"/>
    <x v="0"/>
    <x v="18"/>
    <x v="47"/>
    <x v="0"/>
    <x v="30"/>
    <x v="2"/>
    <x v="2"/>
    <x v="2"/>
    <x v="0"/>
    <x v="2"/>
    <x v="3"/>
    <x v="3"/>
    <x v="3"/>
    <x v="2"/>
    <x v="2"/>
    <x v="3"/>
    <x v="3"/>
  </r>
  <r>
    <x v="86"/>
    <x v="56"/>
    <x v="4"/>
    <x v="0"/>
    <x v="1"/>
    <x v="38"/>
    <x v="27"/>
    <x v="0"/>
    <x v="3"/>
    <x v="3"/>
    <x v="5"/>
    <x v="2"/>
    <x v="5"/>
    <x v="0"/>
    <x v="5"/>
    <x v="7"/>
    <x v="2"/>
    <x v="28"/>
    <x v="1"/>
    <x v="2"/>
    <x v="2"/>
    <x v="0"/>
    <x v="2"/>
    <x v="3"/>
    <x v="3"/>
    <x v="3"/>
    <x v="2"/>
    <x v="2"/>
    <x v="3"/>
    <x v="3"/>
  </r>
  <r>
    <x v="87"/>
    <x v="53"/>
    <x v="3"/>
    <x v="0"/>
    <x v="1"/>
    <x v="20"/>
    <x v="19"/>
    <x v="2"/>
    <x v="5"/>
    <x v="5"/>
    <x v="14"/>
    <x v="2"/>
    <x v="14"/>
    <x v="3"/>
    <x v="13"/>
    <x v="48"/>
    <x v="1"/>
    <x v="73"/>
    <x v="4"/>
    <x v="2"/>
    <x v="3"/>
    <x v="0"/>
    <x v="2"/>
    <x v="3"/>
    <x v="3"/>
    <x v="3"/>
    <x v="2"/>
    <x v="2"/>
    <x v="3"/>
    <x v="3"/>
  </r>
  <r>
    <x v="88"/>
    <x v="71"/>
    <x v="7"/>
    <x v="0"/>
    <x v="1"/>
    <x v="20"/>
    <x v="19"/>
    <x v="2"/>
    <x v="5"/>
    <x v="5"/>
    <x v="19"/>
    <x v="4"/>
    <x v="19"/>
    <x v="0"/>
    <x v="18"/>
    <x v="49"/>
    <x v="3"/>
    <x v="74"/>
    <x v="4"/>
    <x v="2"/>
    <x v="4"/>
    <x v="0"/>
    <x v="2"/>
    <x v="3"/>
    <x v="3"/>
    <x v="3"/>
    <x v="2"/>
    <x v="2"/>
    <x v="3"/>
    <x v="3"/>
  </r>
  <r>
    <x v="89"/>
    <x v="63"/>
    <x v="9"/>
    <x v="0"/>
    <x v="1"/>
    <x v="20"/>
    <x v="19"/>
    <x v="2"/>
    <x v="5"/>
    <x v="5"/>
    <x v="7"/>
    <x v="4"/>
    <x v="7"/>
    <x v="0"/>
    <x v="7"/>
    <x v="50"/>
    <x v="1"/>
    <x v="75"/>
    <x v="1"/>
    <x v="2"/>
    <x v="4"/>
    <x v="0"/>
    <x v="2"/>
    <x v="3"/>
    <x v="3"/>
    <x v="3"/>
    <x v="2"/>
    <x v="2"/>
    <x v="3"/>
    <x v="3"/>
  </r>
  <r>
    <x v="90"/>
    <x v="72"/>
    <x v="8"/>
    <x v="29"/>
    <x v="1"/>
    <x v="39"/>
    <x v="28"/>
    <x v="1"/>
    <x v="3"/>
    <x v="3"/>
    <x v="14"/>
    <x v="3"/>
    <x v="14"/>
    <x v="3"/>
    <x v="13"/>
    <x v="51"/>
    <x v="4"/>
    <x v="76"/>
    <x v="0"/>
    <x v="1"/>
    <x v="4"/>
    <x v="3"/>
    <x v="2"/>
    <x v="3"/>
    <x v="3"/>
    <x v="3"/>
    <x v="2"/>
    <x v="2"/>
    <x v="3"/>
    <x v="3"/>
  </r>
  <r>
    <x v="91"/>
    <x v="73"/>
    <x v="1"/>
    <x v="0"/>
    <x v="8"/>
    <x v="7"/>
    <x v="7"/>
    <x v="2"/>
    <x v="3"/>
    <x v="3"/>
    <x v="8"/>
    <x v="0"/>
    <x v="8"/>
    <x v="3"/>
    <x v="8"/>
    <x v="52"/>
    <x v="3"/>
    <x v="77"/>
    <x v="2"/>
    <x v="0"/>
    <x v="2"/>
    <x v="0"/>
    <x v="0"/>
    <x v="3"/>
    <x v="3"/>
    <x v="3"/>
    <x v="2"/>
    <x v="2"/>
    <x v="3"/>
    <x v="3"/>
  </r>
  <r>
    <x v="92"/>
    <x v="74"/>
    <x v="1"/>
    <x v="30"/>
    <x v="1"/>
    <x v="40"/>
    <x v="24"/>
    <x v="1"/>
    <x v="4"/>
    <x v="4"/>
    <x v="19"/>
    <x v="1"/>
    <x v="19"/>
    <x v="0"/>
    <x v="18"/>
    <x v="47"/>
    <x v="2"/>
    <x v="78"/>
    <x v="0"/>
    <x v="1"/>
    <x v="0"/>
    <x v="1"/>
    <x v="1"/>
    <x v="3"/>
    <x v="3"/>
    <x v="3"/>
    <x v="2"/>
    <x v="2"/>
    <x v="3"/>
    <x v="3"/>
  </r>
  <r>
    <x v="93"/>
    <x v="75"/>
    <x v="0"/>
    <x v="0"/>
    <x v="26"/>
    <x v="7"/>
    <x v="7"/>
    <x v="2"/>
    <x v="3"/>
    <x v="3"/>
    <x v="21"/>
    <x v="0"/>
    <x v="21"/>
    <x v="1"/>
    <x v="20"/>
    <x v="29"/>
    <x v="4"/>
    <x v="62"/>
    <x v="1"/>
    <x v="0"/>
    <x v="4"/>
    <x v="0"/>
    <x v="0"/>
    <x v="3"/>
    <x v="3"/>
    <x v="3"/>
    <x v="2"/>
    <x v="2"/>
    <x v="3"/>
    <x v="3"/>
  </r>
  <r>
    <x v="94"/>
    <x v="76"/>
    <x v="8"/>
    <x v="0"/>
    <x v="27"/>
    <x v="38"/>
    <x v="27"/>
    <x v="0"/>
    <x v="3"/>
    <x v="3"/>
    <x v="17"/>
    <x v="2"/>
    <x v="17"/>
    <x v="4"/>
    <x v="16"/>
    <x v="23"/>
    <x v="3"/>
    <x v="31"/>
    <x v="4"/>
    <x v="0"/>
    <x v="3"/>
    <x v="0"/>
    <x v="0"/>
    <x v="3"/>
    <x v="3"/>
    <x v="3"/>
    <x v="2"/>
    <x v="2"/>
    <x v="3"/>
    <x v="3"/>
  </r>
  <r>
    <x v="95"/>
    <x v="77"/>
    <x v="7"/>
    <x v="31"/>
    <x v="1"/>
    <x v="30"/>
    <x v="14"/>
    <x v="1"/>
    <x v="0"/>
    <x v="0"/>
    <x v="12"/>
    <x v="0"/>
    <x v="12"/>
    <x v="4"/>
    <x v="11"/>
    <x v="13"/>
    <x v="4"/>
    <x v="61"/>
    <x v="3"/>
    <x v="1"/>
    <x v="2"/>
    <x v="2"/>
    <x v="2"/>
    <x v="3"/>
    <x v="3"/>
    <x v="3"/>
    <x v="2"/>
    <x v="2"/>
    <x v="3"/>
    <x v="3"/>
  </r>
  <r>
    <x v="96"/>
    <x v="78"/>
    <x v="0"/>
    <x v="8"/>
    <x v="1"/>
    <x v="10"/>
    <x v="9"/>
    <x v="0"/>
    <x v="0"/>
    <x v="0"/>
    <x v="1"/>
    <x v="4"/>
    <x v="1"/>
    <x v="1"/>
    <x v="1"/>
    <x v="44"/>
    <x v="3"/>
    <x v="79"/>
    <x v="3"/>
    <x v="1"/>
    <x v="3"/>
    <x v="2"/>
    <x v="2"/>
    <x v="3"/>
    <x v="3"/>
    <x v="3"/>
    <x v="2"/>
    <x v="2"/>
    <x v="3"/>
    <x v="3"/>
  </r>
  <r>
    <x v="97"/>
    <x v="79"/>
    <x v="11"/>
    <x v="10"/>
    <x v="1"/>
    <x v="2"/>
    <x v="2"/>
    <x v="1"/>
    <x v="2"/>
    <x v="2"/>
    <x v="19"/>
    <x v="2"/>
    <x v="19"/>
    <x v="0"/>
    <x v="18"/>
    <x v="53"/>
    <x v="4"/>
    <x v="80"/>
    <x v="2"/>
    <x v="1"/>
    <x v="3"/>
    <x v="6"/>
    <x v="2"/>
    <x v="3"/>
    <x v="3"/>
    <x v="3"/>
    <x v="2"/>
    <x v="2"/>
    <x v="3"/>
    <x v="3"/>
  </r>
  <r>
    <x v="98"/>
    <x v="63"/>
    <x v="9"/>
    <x v="0"/>
    <x v="28"/>
    <x v="41"/>
    <x v="29"/>
    <x v="0"/>
    <x v="2"/>
    <x v="2"/>
    <x v="6"/>
    <x v="4"/>
    <x v="6"/>
    <x v="2"/>
    <x v="6"/>
    <x v="18"/>
    <x v="3"/>
    <x v="72"/>
    <x v="1"/>
    <x v="0"/>
    <x v="2"/>
    <x v="0"/>
    <x v="0"/>
    <x v="3"/>
    <x v="3"/>
    <x v="3"/>
    <x v="2"/>
    <x v="2"/>
    <x v="3"/>
    <x v="3"/>
  </r>
  <r>
    <x v="99"/>
    <x v="80"/>
    <x v="10"/>
    <x v="0"/>
    <x v="1"/>
    <x v="4"/>
    <x v="4"/>
    <x v="1"/>
    <x v="3"/>
    <x v="3"/>
    <x v="15"/>
    <x v="4"/>
    <x v="15"/>
    <x v="1"/>
    <x v="14"/>
    <x v="22"/>
    <x v="1"/>
    <x v="81"/>
    <x v="4"/>
    <x v="2"/>
    <x v="0"/>
    <x v="0"/>
    <x v="2"/>
    <x v="3"/>
    <x v="3"/>
    <x v="3"/>
    <x v="2"/>
    <x v="2"/>
    <x v="3"/>
    <x v="3"/>
  </r>
  <r>
    <x v="100"/>
    <x v="81"/>
    <x v="12"/>
    <x v="0"/>
    <x v="1"/>
    <x v="42"/>
    <x v="30"/>
    <x v="4"/>
    <x v="8"/>
    <x v="9"/>
    <x v="22"/>
    <x v="5"/>
    <x v="22"/>
    <x v="5"/>
    <x v="21"/>
    <x v="54"/>
    <x v="5"/>
    <x v="82"/>
    <x v="5"/>
    <x v="3"/>
    <x v="5"/>
    <x v="8"/>
    <x v="3"/>
    <x v="3"/>
    <x v="3"/>
    <x v="3"/>
    <x v="2"/>
    <x v="2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>
  <location ref="E29:F32" firstHeaderRow="1" firstDataRow="1" firstDataCol="1"/>
  <pivotFields count="2">
    <pivotField axis="axisRow" compact="0" showAll="0">
      <items count="4">
        <item x="0"/>
        <item x="2"/>
        <item x="1"/>
        <item t="default"/>
      </items>
    </pivotField>
    <pivotField dataField="1" compact="0" numFmtId="9" showAll="0">
      <items count="4">
        <item x="2"/>
        <item x="1"/>
        <item x="0"/>
        <item t="default"/>
      </items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Sales Target vs Sales Achieved" fld="1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Region Vs Category Sales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>
  <location ref="M3:O8" firstHeaderRow="1" firstDataRow="1" firstDataCol="2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showAll="0">
      <items count="6">
        <item sd="0" x="0"/>
        <item sd="0" x="1"/>
        <item sd="0" x="2"/>
        <item sd="0" x="3"/>
        <item sd="0" x="4"/>
        <item t="default"/>
      </items>
    </pivotField>
    <pivotField compact="0" numFmtId="6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numFmtId="6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6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2">
    <field x="13"/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Amount" fld="17" baseField="0" baseItem="0"/>
  </dataFields>
  <formats count="2">
    <format dxfId="19">
      <pivotArea collapsedLevelsAreSubtotals="1" fieldPosition="0"/>
    </format>
    <format dxfId="18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Delivery status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2">
  <location ref="M14:N17" firstHeaderRow="1" firstDataRow="1" firstDataCol="1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52"/>
        <item x="25"/>
        <item x="63"/>
        <item x="49"/>
        <item x="4"/>
        <item x="41"/>
        <item x="48"/>
        <item x="15"/>
        <item x="28"/>
        <item x="74"/>
        <item x="73"/>
        <item x="1"/>
        <item x="13"/>
        <item x="12"/>
        <item x="50"/>
        <item x="61"/>
        <item x="29"/>
        <item x="80"/>
        <item x="7"/>
        <item x="54"/>
        <item x="19"/>
        <item x="57"/>
        <item x="10"/>
        <item x="3"/>
        <item x="53"/>
        <item x="47"/>
        <item x="58"/>
        <item x="31"/>
        <item x="64"/>
        <item x="23"/>
        <item x="76"/>
        <item x="43"/>
        <item x="30"/>
        <item x="72"/>
        <item x="16"/>
        <item x="60"/>
        <item x="77"/>
        <item x="71"/>
        <item x="40"/>
        <item x="45"/>
        <item x="8"/>
        <item x="62"/>
        <item x="34"/>
        <item x="11"/>
        <item x="59"/>
        <item x="6"/>
        <item x="36"/>
        <item x="18"/>
        <item x="14"/>
        <item x="65"/>
        <item x="55"/>
        <item x="39"/>
        <item x="79"/>
        <item x="20"/>
        <item x="27"/>
        <item x="26"/>
        <item x="2"/>
        <item x="24"/>
        <item x="67"/>
        <item x="35"/>
        <item x="51"/>
        <item x="46"/>
        <item x="69"/>
        <item x="5"/>
        <item x="22"/>
        <item x="68"/>
        <item x="21"/>
        <item x="70"/>
        <item x="32"/>
        <item x="56"/>
        <item x="17"/>
        <item x="37"/>
        <item x="66"/>
        <item x="44"/>
        <item x="75"/>
        <item x="42"/>
        <item x="33"/>
        <item x="78"/>
        <item x="38"/>
        <item x="9"/>
        <item x="0"/>
        <item t="default"/>
      </items>
    </pivotField>
    <pivotField compact="0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19"/>
        <item x="24"/>
        <item x="16"/>
        <item x="2"/>
        <item x="18"/>
        <item x="15"/>
        <item x="30"/>
        <item x="1"/>
        <item x="7"/>
        <item x="5"/>
        <item x="29"/>
        <item x="3"/>
        <item x="31"/>
        <item x="11"/>
        <item x="13"/>
        <item x="22"/>
        <item x="25"/>
        <item x="10"/>
        <item x="27"/>
        <item x="6"/>
        <item x="9"/>
        <item x="14"/>
        <item x="28"/>
        <item x="26"/>
        <item x="4"/>
        <item x="20"/>
        <item x="12"/>
        <item x="23"/>
        <item x="8"/>
        <item x="21"/>
        <item x="17"/>
        <item x="0"/>
        <item t="default"/>
      </items>
    </pivotField>
    <pivotField compact="0" showAll="0">
      <items count="30">
        <item x="28"/>
        <item x="14"/>
        <item x="10"/>
        <item x="8"/>
        <item x="7"/>
        <item x="17"/>
        <item x="18"/>
        <item x="5"/>
        <item x="6"/>
        <item x="2"/>
        <item x="21"/>
        <item x="27"/>
        <item x="16"/>
        <item x="25"/>
        <item x="12"/>
        <item x="22"/>
        <item x="23"/>
        <item x="4"/>
        <item x="13"/>
        <item x="9"/>
        <item x="11"/>
        <item x="19"/>
        <item x="20"/>
        <item x="3"/>
        <item x="24"/>
        <item x="26"/>
        <item x="15"/>
        <item x="0"/>
        <item x="1"/>
        <item t="default"/>
      </items>
    </pivotField>
    <pivotField compact="0" showAll="0">
      <items count="43">
        <item x="27"/>
        <item x="31"/>
        <item x="34"/>
        <item x="26"/>
        <item x="20"/>
        <item x="21"/>
        <item x="4"/>
        <item x="13"/>
        <item x="7"/>
        <item x="22"/>
        <item x="37"/>
        <item x="16"/>
        <item x="30"/>
        <item x="19"/>
        <item x="6"/>
        <item x="0"/>
        <item x="33"/>
        <item x="10"/>
        <item x="25"/>
        <item x="15"/>
        <item x="29"/>
        <item x="3"/>
        <item x="17"/>
        <item x="1"/>
        <item x="39"/>
        <item x="24"/>
        <item x="11"/>
        <item x="41"/>
        <item x="32"/>
        <item x="40"/>
        <item x="23"/>
        <item x="28"/>
        <item x="18"/>
        <item x="14"/>
        <item x="5"/>
        <item x="38"/>
        <item x="2"/>
        <item x="9"/>
        <item x="8"/>
        <item x="12"/>
        <item x="35"/>
        <item x="36"/>
        <item t="default"/>
      </items>
    </pivotField>
    <pivotField compact="0" showAll="0">
      <items count="31">
        <item x="6"/>
        <item x="1"/>
        <item x="17"/>
        <item x="9"/>
        <item x="15"/>
        <item x="8"/>
        <item x="14"/>
        <item x="24"/>
        <item x="18"/>
        <item x="2"/>
        <item x="20"/>
        <item x="3"/>
        <item x="10"/>
        <item x="4"/>
        <item x="13"/>
        <item x="22"/>
        <item x="19"/>
        <item x="16"/>
        <item x="27"/>
        <item x="29"/>
        <item x="23"/>
        <item x="21"/>
        <item x="28"/>
        <item x="12"/>
        <item x="5"/>
        <item x="7"/>
        <item x="25"/>
        <item x="11"/>
        <item x="0"/>
        <item x="2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9">
        <item x="2"/>
        <item x="5"/>
        <item x="1"/>
        <item x="4"/>
        <item x="6"/>
        <item x="0"/>
        <item x="3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14"/>
        <item x="15"/>
        <item x="7"/>
        <item x="21"/>
        <item x="11"/>
        <item x="9"/>
        <item x="20"/>
        <item x="13"/>
        <item x="17"/>
        <item x="3"/>
        <item x="18"/>
        <item x="0"/>
        <item x="2"/>
        <item x="8"/>
        <item x="12"/>
        <item x="19"/>
        <item x="10"/>
        <item x="1"/>
        <item x="6"/>
        <item x="4"/>
        <item x="5"/>
        <item x="16"/>
        <item t="default"/>
      </items>
    </pivotField>
    <pivotField dataField="1" compact="0" showAll="0">
      <items count="6">
        <item x="3"/>
        <item x="1"/>
        <item x="0"/>
        <item x="2"/>
        <item x="4"/>
        <item t="default"/>
      </items>
    </pivotField>
    <pivotField compact="0" showAll="0">
      <items count="23">
        <item x="15"/>
        <item x="16"/>
        <item x="4"/>
        <item x="7"/>
        <item x="19"/>
        <item x="1"/>
        <item x="6"/>
        <item x="10"/>
        <item x="18"/>
        <item x="3"/>
        <item x="0"/>
        <item x="21"/>
        <item x="17"/>
        <item x="12"/>
        <item x="20"/>
        <item x="9"/>
        <item x="14"/>
        <item x="8"/>
        <item x="13"/>
        <item x="11"/>
        <item x="2"/>
        <item x="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numFmtId="6" showAll="0">
      <items count="22">
        <item x="16"/>
        <item x="11"/>
        <item x="10"/>
        <item x="19"/>
        <item x="5"/>
        <item x="14"/>
        <item x="6"/>
        <item x="0"/>
        <item x="3"/>
        <item x="20"/>
        <item x="15"/>
        <item x="12"/>
        <item x="9"/>
        <item x="1"/>
        <item x="4"/>
        <item x="7"/>
        <item x="17"/>
        <item x="2"/>
        <item x="18"/>
        <item x="8"/>
        <item x="13"/>
        <item t="default"/>
      </items>
    </pivotField>
    <pivotField compact="0" numFmtId="6" showAll="0">
      <items count="55">
        <item x="23"/>
        <item x="13"/>
        <item x="36"/>
        <item x="39"/>
        <item x="12"/>
        <item x="43"/>
        <item x="27"/>
        <item x="32"/>
        <item x="7"/>
        <item x="26"/>
        <item x="22"/>
        <item x="18"/>
        <item x="0"/>
        <item x="17"/>
        <item x="5"/>
        <item x="4"/>
        <item x="29"/>
        <item x="31"/>
        <item x="19"/>
        <item x="38"/>
        <item x="28"/>
        <item x="21"/>
        <item x="14"/>
        <item x="34"/>
        <item x="11"/>
        <item x="15"/>
        <item x="44"/>
        <item x="1"/>
        <item x="20"/>
        <item x="35"/>
        <item x="6"/>
        <item x="33"/>
        <item x="50"/>
        <item x="42"/>
        <item x="8"/>
        <item x="24"/>
        <item x="30"/>
        <item x="46"/>
        <item x="2"/>
        <item x="40"/>
        <item x="3"/>
        <item x="47"/>
        <item x="25"/>
        <item x="45"/>
        <item x="53"/>
        <item x="49"/>
        <item x="37"/>
        <item x="10"/>
        <item x="52"/>
        <item x="9"/>
        <item x="48"/>
        <item x="51"/>
        <item x="16"/>
        <item x="41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numFmtId="6" showAll="0">
      <items count="83">
        <item x="33"/>
        <item x="50"/>
        <item x="54"/>
        <item x="14"/>
        <item x="49"/>
        <item x="61"/>
        <item x="24"/>
        <item x="0"/>
        <item x="67"/>
        <item x="32"/>
        <item x="31"/>
        <item x="4"/>
        <item x="43"/>
        <item x="16"/>
        <item x="37"/>
        <item x="53"/>
        <item x="15"/>
        <item x="20"/>
        <item x="8"/>
        <item x="12"/>
        <item x="47"/>
        <item x="46"/>
        <item x="42"/>
        <item x="28"/>
        <item x="64"/>
        <item x="62"/>
        <item x="71"/>
        <item x="38"/>
        <item x="70"/>
        <item x="26"/>
        <item x="52"/>
        <item x="36"/>
        <item x="81"/>
        <item x="34"/>
        <item x="22"/>
        <item x="7"/>
        <item x="41"/>
        <item x="65"/>
        <item x="60"/>
        <item x="30"/>
        <item x="72"/>
        <item x="56"/>
        <item x="21"/>
        <item x="5"/>
        <item x="39"/>
        <item x="10"/>
        <item x="25"/>
        <item x="57"/>
        <item x="27"/>
        <item x="45"/>
        <item x="63"/>
        <item x="6"/>
        <item x="29"/>
        <item x="69"/>
        <item x="17"/>
        <item x="48"/>
        <item x="13"/>
        <item x="18"/>
        <item x="68"/>
        <item x="1"/>
        <item x="80"/>
        <item x="79"/>
        <item x="23"/>
        <item x="75"/>
        <item x="9"/>
        <item x="3"/>
        <item x="78"/>
        <item x="35"/>
        <item x="44"/>
        <item x="40"/>
        <item x="59"/>
        <item x="11"/>
        <item x="2"/>
        <item x="55"/>
        <item x="66"/>
        <item x="74"/>
        <item x="51"/>
        <item x="77"/>
        <item x="76"/>
        <item x="19"/>
        <item x="73"/>
        <item x="5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1">
    <field x="19"/>
  </rowFields>
  <rowItems count="3">
    <i>
      <x/>
    </i>
    <i>
      <x v="1"/>
    </i>
    <i>
      <x v="2"/>
    </i>
  </rowItems>
  <colItems count="1">
    <i/>
  </colItems>
  <dataFields count="1">
    <dataField name="Count of Region" fld="11" subtotal="count" showDataAs="percentOfCo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Effective Sales 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>
  <location ref="I3:K9" firstHeaderRow="1" firstDataRow="1" firstDataCol="2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6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numFmtId="6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6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 sortType="descending" countSubtotal="1">
      <items count="4">
        <item h="1" x="2"/>
        <item x="1"/>
        <item h="1" x="0"/>
        <item t="coun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2">
    <field x="19"/>
    <field x="11"/>
  </rowFields>
  <rowItems count="6"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Sum of Total Amount" fld="17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%Fast Delivery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>
  <location ref="AB3:AC8" firstHeaderRow="1" firstDataRow="1" firstDataCol="1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52"/>
        <item x="25"/>
        <item x="63"/>
        <item x="49"/>
        <item x="4"/>
        <item x="41"/>
        <item x="48"/>
        <item x="15"/>
        <item x="28"/>
        <item x="74"/>
        <item x="73"/>
        <item x="1"/>
        <item x="13"/>
        <item x="12"/>
        <item x="50"/>
        <item x="61"/>
        <item x="29"/>
        <item x="80"/>
        <item x="7"/>
        <item x="54"/>
        <item x="19"/>
        <item x="57"/>
        <item x="10"/>
        <item x="3"/>
        <item x="53"/>
        <item x="47"/>
        <item x="58"/>
        <item x="31"/>
        <item x="64"/>
        <item x="23"/>
        <item x="76"/>
        <item x="43"/>
        <item x="30"/>
        <item x="72"/>
        <item x="16"/>
        <item x="60"/>
        <item x="77"/>
        <item x="71"/>
        <item x="40"/>
        <item x="45"/>
        <item x="8"/>
        <item x="62"/>
        <item x="34"/>
        <item x="11"/>
        <item x="59"/>
        <item x="6"/>
        <item x="36"/>
        <item x="18"/>
        <item x="14"/>
        <item x="65"/>
        <item x="55"/>
        <item x="39"/>
        <item x="79"/>
        <item x="20"/>
        <item x="27"/>
        <item x="26"/>
        <item x="2"/>
        <item x="24"/>
        <item x="67"/>
        <item x="35"/>
        <item x="51"/>
        <item x="46"/>
        <item x="69"/>
        <item x="5"/>
        <item x="22"/>
        <item x="68"/>
        <item x="21"/>
        <item x="70"/>
        <item x="32"/>
        <item x="56"/>
        <item x="17"/>
        <item x="37"/>
        <item x="66"/>
        <item x="44"/>
        <item x="75"/>
        <item x="42"/>
        <item x="33"/>
        <item x="78"/>
        <item x="38"/>
        <item x="9"/>
        <item x="0"/>
        <item t="default"/>
      </items>
    </pivotField>
    <pivotField compact="0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19"/>
        <item x="24"/>
        <item x="16"/>
        <item x="2"/>
        <item x="18"/>
        <item x="15"/>
        <item x="30"/>
        <item x="1"/>
        <item x="7"/>
        <item x="5"/>
        <item x="29"/>
        <item x="3"/>
        <item x="31"/>
        <item x="11"/>
        <item x="13"/>
        <item x="22"/>
        <item x="25"/>
        <item x="10"/>
        <item x="27"/>
        <item x="6"/>
        <item x="9"/>
        <item x="14"/>
        <item x="28"/>
        <item x="26"/>
        <item x="4"/>
        <item x="20"/>
        <item x="12"/>
        <item x="23"/>
        <item x="8"/>
        <item x="21"/>
        <item x="17"/>
        <item x="0"/>
        <item t="default"/>
      </items>
    </pivotField>
    <pivotField compact="0" showAll="0">
      <items count="30">
        <item x="28"/>
        <item x="14"/>
        <item x="10"/>
        <item x="8"/>
        <item x="7"/>
        <item x="17"/>
        <item x="18"/>
        <item x="5"/>
        <item x="6"/>
        <item x="2"/>
        <item x="21"/>
        <item x="27"/>
        <item x="16"/>
        <item x="25"/>
        <item x="12"/>
        <item x="22"/>
        <item x="23"/>
        <item x="4"/>
        <item x="13"/>
        <item x="9"/>
        <item x="11"/>
        <item x="19"/>
        <item x="20"/>
        <item x="3"/>
        <item x="24"/>
        <item x="26"/>
        <item x="15"/>
        <item x="0"/>
        <item x="1"/>
        <item t="default"/>
      </items>
    </pivotField>
    <pivotField compact="0" showAll="0">
      <items count="43">
        <item x="27"/>
        <item x="31"/>
        <item x="34"/>
        <item x="26"/>
        <item x="20"/>
        <item x="21"/>
        <item x="4"/>
        <item x="13"/>
        <item x="7"/>
        <item x="22"/>
        <item x="37"/>
        <item x="16"/>
        <item x="30"/>
        <item x="19"/>
        <item x="6"/>
        <item x="0"/>
        <item x="33"/>
        <item x="10"/>
        <item x="25"/>
        <item x="15"/>
        <item x="29"/>
        <item x="3"/>
        <item x="17"/>
        <item x="1"/>
        <item x="39"/>
        <item x="24"/>
        <item x="11"/>
        <item x="41"/>
        <item x="32"/>
        <item x="40"/>
        <item x="23"/>
        <item x="28"/>
        <item x="18"/>
        <item x="14"/>
        <item x="5"/>
        <item x="38"/>
        <item x="2"/>
        <item x="9"/>
        <item x="8"/>
        <item x="12"/>
        <item x="35"/>
        <item x="36"/>
        <item t="default"/>
      </items>
    </pivotField>
    <pivotField compact="0" showAll="0">
      <items count="31">
        <item x="6"/>
        <item x="1"/>
        <item x="17"/>
        <item x="9"/>
        <item x="15"/>
        <item x="8"/>
        <item x="14"/>
        <item x="24"/>
        <item x="18"/>
        <item x="2"/>
        <item x="20"/>
        <item x="3"/>
        <item x="10"/>
        <item x="4"/>
        <item x="13"/>
        <item x="22"/>
        <item x="19"/>
        <item x="16"/>
        <item x="27"/>
        <item x="29"/>
        <item x="23"/>
        <item x="21"/>
        <item x="28"/>
        <item x="12"/>
        <item x="5"/>
        <item x="7"/>
        <item x="25"/>
        <item x="11"/>
        <item x="0"/>
        <item x="2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9">
        <item x="2"/>
        <item x="5"/>
        <item x="1"/>
        <item x="4"/>
        <item x="6"/>
        <item x="0"/>
        <item x="3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14"/>
        <item x="15"/>
        <item x="7"/>
        <item x="21"/>
        <item x="11"/>
        <item x="9"/>
        <item x="20"/>
        <item x="13"/>
        <item x="17"/>
        <item x="3"/>
        <item x="18"/>
        <item x="0"/>
        <item x="2"/>
        <item x="8"/>
        <item x="12"/>
        <item x="19"/>
        <item x="10"/>
        <item x="1"/>
        <item x="6"/>
        <item x="4"/>
        <item x="5"/>
        <item x="16"/>
        <item t="default"/>
      </items>
    </pivotField>
    <pivotField axis="axisRow" compact="0" showAll="0" sortType="descending">
      <items count="6">
        <item x="3"/>
        <item x="1"/>
        <item x="0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3">
        <item x="15"/>
        <item x="16"/>
        <item x="4"/>
        <item x="7"/>
        <item x="19"/>
        <item x="1"/>
        <item x="6"/>
        <item x="10"/>
        <item x="18"/>
        <item x="3"/>
        <item x="0"/>
        <item x="21"/>
        <item x="17"/>
        <item x="12"/>
        <item x="20"/>
        <item x="9"/>
        <item x="14"/>
        <item x="8"/>
        <item x="13"/>
        <item x="11"/>
        <item x="2"/>
        <item x="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numFmtId="6" showAll="0">
      <items count="22">
        <item x="16"/>
        <item x="11"/>
        <item x="10"/>
        <item x="19"/>
        <item x="5"/>
        <item x="14"/>
        <item x="6"/>
        <item x="0"/>
        <item x="3"/>
        <item x="20"/>
        <item x="15"/>
        <item x="12"/>
        <item x="9"/>
        <item x="1"/>
        <item x="4"/>
        <item x="7"/>
        <item x="17"/>
        <item x="2"/>
        <item x="18"/>
        <item x="8"/>
        <item x="13"/>
        <item t="default"/>
      </items>
    </pivotField>
    <pivotField compact="0" numFmtId="6" showAll="0">
      <items count="55">
        <item x="23"/>
        <item x="13"/>
        <item x="36"/>
        <item x="39"/>
        <item x="12"/>
        <item x="43"/>
        <item x="27"/>
        <item x="32"/>
        <item x="7"/>
        <item x="26"/>
        <item x="22"/>
        <item x="18"/>
        <item x="0"/>
        <item x="17"/>
        <item x="5"/>
        <item x="4"/>
        <item x="29"/>
        <item x="31"/>
        <item x="19"/>
        <item x="38"/>
        <item x="28"/>
        <item x="21"/>
        <item x="14"/>
        <item x="34"/>
        <item x="11"/>
        <item x="15"/>
        <item x="44"/>
        <item x="1"/>
        <item x="20"/>
        <item x="35"/>
        <item x="6"/>
        <item x="33"/>
        <item x="50"/>
        <item x="42"/>
        <item x="8"/>
        <item x="24"/>
        <item x="30"/>
        <item x="46"/>
        <item x="2"/>
        <item x="40"/>
        <item x="3"/>
        <item x="47"/>
        <item x="25"/>
        <item x="45"/>
        <item x="53"/>
        <item x="49"/>
        <item x="37"/>
        <item x="10"/>
        <item x="52"/>
        <item x="9"/>
        <item x="48"/>
        <item x="51"/>
        <item x="16"/>
        <item x="41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numFmtId="6" showAll="0">
      <items count="83">
        <item x="33"/>
        <item x="50"/>
        <item x="54"/>
        <item x="14"/>
        <item x="49"/>
        <item x="61"/>
        <item x="24"/>
        <item x="0"/>
        <item x="67"/>
        <item x="32"/>
        <item x="31"/>
        <item x="4"/>
        <item x="43"/>
        <item x="16"/>
        <item x="37"/>
        <item x="53"/>
        <item x="15"/>
        <item x="20"/>
        <item x="8"/>
        <item x="12"/>
        <item x="47"/>
        <item x="46"/>
        <item x="42"/>
        <item x="28"/>
        <item x="64"/>
        <item x="62"/>
        <item x="71"/>
        <item x="38"/>
        <item x="70"/>
        <item x="26"/>
        <item x="52"/>
        <item x="36"/>
        <item x="81"/>
        <item x="34"/>
        <item x="22"/>
        <item x="7"/>
        <item x="41"/>
        <item x="65"/>
        <item x="60"/>
        <item x="30"/>
        <item x="72"/>
        <item x="56"/>
        <item x="21"/>
        <item x="5"/>
        <item x="39"/>
        <item x="10"/>
        <item x="25"/>
        <item x="57"/>
        <item x="27"/>
        <item x="45"/>
        <item x="63"/>
        <item x="6"/>
        <item x="29"/>
        <item x="69"/>
        <item x="17"/>
        <item x="48"/>
        <item x="13"/>
        <item x="18"/>
        <item x="68"/>
        <item x="1"/>
        <item x="80"/>
        <item x="79"/>
        <item x="23"/>
        <item x="75"/>
        <item x="9"/>
        <item x="3"/>
        <item x="78"/>
        <item x="35"/>
        <item x="44"/>
        <item x="40"/>
        <item x="59"/>
        <item x="11"/>
        <item x="2"/>
        <item x="55"/>
        <item x="66"/>
        <item x="74"/>
        <item x="51"/>
        <item x="77"/>
        <item x="76"/>
        <item x="19"/>
        <item x="73"/>
        <item x="58"/>
        <item t="default"/>
      </items>
    </pivotField>
    <pivotField compact="0" showAll="0">
      <items count="6">
        <item x="3"/>
        <item h="1" x="0"/>
        <item h="1" x="1"/>
        <item h="1" x="4"/>
        <item h="1"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1">
    <field x="11"/>
  </rowFields>
  <rowItems count="5">
    <i>
      <x v="2"/>
    </i>
    <i>
      <x v="3"/>
    </i>
    <i>
      <x v="4"/>
    </i>
    <i>
      <x v="1"/>
    </i>
    <i>
      <x/>
    </i>
  </rowItems>
  <colItems count="1">
    <i/>
  </colItems>
  <dataFields count="1">
    <dataField name="Sum of Fast Delivery percentage" fld="28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roduct  Sales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2">
  <location ref="E3:G25" firstHeaderRow="0" firstDataRow="1" firstDataCol="1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 sortType="descending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6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numFmtId="6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dataField="1" compact="0" numFmtId="6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1">
    <field x="12"/>
  </rowFields>
  <rowItems count="22">
    <i>
      <x v="14"/>
    </i>
    <i>
      <x v="19"/>
    </i>
    <i>
      <x v="7"/>
    </i>
    <i>
      <x v="8"/>
    </i>
    <i>
      <x v="2"/>
    </i>
    <i>
      <x v="1"/>
    </i>
    <i>
      <x v="10"/>
    </i>
    <i>
      <x v="13"/>
    </i>
    <i>
      <x v="9"/>
    </i>
    <i>
      <x v="18"/>
    </i>
    <i>
      <x v="21"/>
    </i>
    <i>
      <x v="6"/>
    </i>
    <i>
      <x v="5"/>
    </i>
    <i>
      <x v="4"/>
    </i>
    <i>
      <x v="15"/>
    </i>
    <i>
      <x v="3"/>
    </i>
    <i>
      <x v="11"/>
    </i>
    <i>
      <x v="16"/>
    </i>
    <i>
      <x/>
    </i>
    <i>
      <x v="12"/>
    </i>
    <i>
      <x v="20"/>
    </i>
    <i>
      <x v="17"/>
    </i>
  </rowItems>
  <colFields count="1">
    <field x="-2"/>
  </colFields>
  <colItems count="2">
    <i>
      <x/>
    </i>
    <i i="1">
      <x v="1"/>
    </i>
  </colItems>
  <dataFields count="2">
    <dataField name="Total Quantity" fld="16" baseField="0" baseItem="0"/>
    <dataField name="Total Sale Amount 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roducts vs Quantity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X3:Z30" firstHeaderRow="1" firstDataRow="1" firstDataCol="2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multipleItemSelectionAllowed="1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numFmtId="6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numFmtId="6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6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2">
    <field x="13"/>
    <field x="12"/>
  </rowFields>
  <rowItems count="27">
    <i>
      <x/>
    </i>
    <i r="1">
      <x/>
    </i>
    <i r="1">
      <x v="2"/>
    </i>
    <i r="1">
      <x v="5"/>
    </i>
    <i r="1">
      <x v="7"/>
    </i>
    <i r="1">
      <x v="19"/>
    </i>
    <i>
      <x v="1"/>
    </i>
    <i r="1">
      <x v="1"/>
    </i>
    <i r="1">
      <x v="15"/>
    </i>
    <i r="1">
      <x v="20"/>
    </i>
    <i r="1">
      <x v="21"/>
    </i>
    <i>
      <x v="2"/>
    </i>
    <i r="1">
      <x v="3"/>
    </i>
    <i r="1">
      <x v="6"/>
    </i>
    <i r="1">
      <x v="9"/>
    </i>
    <i r="1">
      <x v="11"/>
    </i>
    <i r="1">
      <x v="16"/>
    </i>
    <i>
      <x v="3"/>
    </i>
    <i r="1">
      <x v="4"/>
    </i>
    <i r="1">
      <x v="8"/>
    </i>
    <i r="1">
      <x v="10"/>
    </i>
    <i r="1">
      <x v="14"/>
    </i>
    <i r="1">
      <x v="18"/>
    </i>
    <i>
      <x v="4"/>
    </i>
    <i r="1">
      <x v="12"/>
    </i>
    <i r="1">
      <x v="13"/>
    </i>
    <i r="1">
      <x v="17"/>
    </i>
  </rowItems>
  <colItems count="1">
    <i/>
  </colItems>
  <dataFields count="1">
    <dataField name="Sum of Total Amount" fld="17" baseField="1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rget Sales Vs Achieved Sales Regionwise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>
  <location ref="Q3:S8" firstHeaderRow="0" firstDataRow="1" firstDataCol="1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52"/>
        <item x="25"/>
        <item x="63"/>
        <item x="49"/>
        <item x="4"/>
        <item x="41"/>
        <item x="48"/>
        <item x="15"/>
        <item x="28"/>
        <item x="74"/>
        <item x="73"/>
        <item x="1"/>
        <item x="13"/>
        <item x="12"/>
        <item x="50"/>
        <item x="61"/>
        <item x="29"/>
        <item x="80"/>
        <item x="7"/>
        <item x="54"/>
        <item x="19"/>
        <item x="57"/>
        <item x="10"/>
        <item x="3"/>
        <item x="53"/>
        <item x="47"/>
        <item x="58"/>
        <item x="31"/>
        <item x="64"/>
        <item x="23"/>
        <item x="76"/>
        <item x="43"/>
        <item x="30"/>
        <item x="72"/>
        <item x="16"/>
        <item x="60"/>
        <item x="77"/>
        <item x="71"/>
        <item x="40"/>
        <item x="45"/>
        <item x="8"/>
        <item x="62"/>
        <item x="34"/>
        <item x="11"/>
        <item x="59"/>
        <item x="6"/>
        <item x="36"/>
        <item x="18"/>
        <item x="14"/>
        <item x="65"/>
        <item x="55"/>
        <item x="39"/>
        <item x="79"/>
        <item x="20"/>
        <item x="27"/>
        <item x="26"/>
        <item x="2"/>
        <item x="24"/>
        <item x="67"/>
        <item x="35"/>
        <item x="51"/>
        <item x="46"/>
        <item x="69"/>
        <item x="5"/>
        <item x="22"/>
        <item x="68"/>
        <item x="21"/>
        <item x="70"/>
        <item x="32"/>
        <item x="56"/>
        <item x="17"/>
        <item x="37"/>
        <item x="66"/>
        <item x="44"/>
        <item x="75"/>
        <item x="42"/>
        <item x="33"/>
        <item x="78"/>
        <item x="38"/>
        <item x="9"/>
        <item x="0"/>
        <item t="default"/>
      </items>
    </pivotField>
    <pivotField compact="0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19"/>
        <item x="24"/>
        <item x="16"/>
        <item x="2"/>
        <item x="18"/>
        <item x="15"/>
        <item x="30"/>
        <item x="1"/>
        <item x="7"/>
        <item x="5"/>
        <item x="29"/>
        <item x="3"/>
        <item x="31"/>
        <item x="11"/>
        <item x="13"/>
        <item x="22"/>
        <item x="25"/>
        <item x="10"/>
        <item x="27"/>
        <item x="6"/>
        <item x="9"/>
        <item x="14"/>
        <item x="28"/>
        <item x="26"/>
        <item x="4"/>
        <item x="20"/>
        <item x="12"/>
        <item x="23"/>
        <item x="8"/>
        <item x="21"/>
        <item x="17"/>
        <item x="0"/>
        <item t="default"/>
      </items>
    </pivotField>
    <pivotField compact="0" showAll="0">
      <items count="30">
        <item x="28"/>
        <item x="14"/>
        <item x="10"/>
        <item x="8"/>
        <item x="7"/>
        <item x="17"/>
        <item x="18"/>
        <item x="5"/>
        <item x="6"/>
        <item x="2"/>
        <item x="21"/>
        <item x="27"/>
        <item x="16"/>
        <item x="25"/>
        <item x="12"/>
        <item x="22"/>
        <item x="23"/>
        <item x="4"/>
        <item x="13"/>
        <item x="9"/>
        <item x="11"/>
        <item x="19"/>
        <item x="20"/>
        <item x="3"/>
        <item x="24"/>
        <item x="26"/>
        <item x="15"/>
        <item x="0"/>
        <item x="1"/>
        <item t="default"/>
      </items>
    </pivotField>
    <pivotField compact="0" showAll="0">
      <items count="43">
        <item x="27"/>
        <item x="31"/>
        <item x="34"/>
        <item x="26"/>
        <item x="20"/>
        <item x="21"/>
        <item x="4"/>
        <item x="13"/>
        <item x="7"/>
        <item x="22"/>
        <item x="37"/>
        <item x="16"/>
        <item x="30"/>
        <item x="19"/>
        <item x="6"/>
        <item x="0"/>
        <item x="33"/>
        <item x="10"/>
        <item x="25"/>
        <item x="15"/>
        <item x="29"/>
        <item x="3"/>
        <item x="17"/>
        <item x="1"/>
        <item x="39"/>
        <item x="24"/>
        <item x="11"/>
        <item x="41"/>
        <item x="32"/>
        <item x="40"/>
        <item x="23"/>
        <item x="28"/>
        <item x="18"/>
        <item x="14"/>
        <item x="5"/>
        <item x="38"/>
        <item x="2"/>
        <item x="9"/>
        <item x="8"/>
        <item x="12"/>
        <item x="35"/>
        <item x="36"/>
        <item t="default"/>
      </items>
    </pivotField>
    <pivotField compact="0" showAll="0">
      <items count="31">
        <item x="6"/>
        <item x="1"/>
        <item x="17"/>
        <item x="9"/>
        <item x="15"/>
        <item x="8"/>
        <item x="14"/>
        <item x="24"/>
        <item x="18"/>
        <item x="2"/>
        <item x="20"/>
        <item x="3"/>
        <item x="10"/>
        <item x="4"/>
        <item x="13"/>
        <item x="22"/>
        <item x="19"/>
        <item x="16"/>
        <item x="27"/>
        <item x="29"/>
        <item x="23"/>
        <item x="21"/>
        <item x="28"/>
        <item x="12"/>
        <item x="5"/>
        <item x="7"/>
        <item x="25"/>
        <item x="11"/>
        <item x="0"/>
        <item x="2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9">
        <item x="2"/>
        <item x="5"/>
        <item x="1"/>
        <item x="4"/>
        <item x="6"/>
        <item x="0"/>
        <item x="3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14"/>
        <item x="15"/>
        <item x="7"/>
        <item x="21"/>
        <item x="11"/>
        <item x="9"/>
        <item x="20"/>
        <item x="13"/>
        <item x="17"/>
        <item x="3"/>
        <item x="18"/>
        <item x="0"/>
        <item x="2"/>
        <item x="8"/>
        <item x="12"/>
        <item x="19"/>
        <item x="10"/>
        <item x="1"/>
        <item x="6"/>
        <item x="4"/>
        <item x="5"/>
        <item x="16"/>
        <item t="default"/>
      </items>
    </pivotField>
    <pivotField axis="axisRow" compact="0" multipleItemSelectionAllowed="1" showAll="0">
      <items count="6">
        <item x="3"/>
        <item x="1"/>
        <item x="0"/>
        <item x="2"/>
        <item x="4"/>
        <item t="default"/>
      </items>
    </pivotField>
    <pivotField compact="0" showAll="0">
      <items count="23">
        <item x="15"/>
        <item x="16"/>
        <item x="4"/>
        <item x="7"/>
        <item x="19"/>
        <item x="1"/>
        <item x="6"/>
        <item x="10"/>
        <item x="18"/>
        <item x="3"/>
        <item x="0"/>
        <item x="21"/>
        <item x="17"/>
        <item x="12"/>
        <item x="20"/>
        <item x="9"/>
        <item x="14"/>
        <item x="8"/>
        <item x="13"/>
        <item x="11"/>
        <item x="2"/>
        <item x="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numFmtId="6" showAll="0">
      <items count="22">
        <item x="16"/>
        <item x="11"/>
        <item x="10"/>
        <item x="19"/>
        <item x="5"/>
        <item x="14"/>
        <item x="6"/>
        <item x="0"/>
        <item x="3"/>
        <item x="20"/>
        <item x="15"/>
        <item x="12"/>
        <item x="9"/>
        <item x="1"/>
        <item x="4"/>
        <item x="7"/>
        <item x="17"/>
        <item x="2"/>
        <item x="18"/>
        <item x="8"/>
        <item x="13"/>
        <item t="default"/>
      </items>
    </pivotField>
    <pivotField compact="0" numFmtId="6" showAll="0">
      <items count="55">
        <item x="23"/>
        <item x="13"/>
        <item x="36"/>
        <item x="39"/>
        <item x="12"/>
        <item x="43"/>
        <item x="27"/>
        <item x="32"/>
        <item x="7"/>
        <item x="26"/>
        <item x="22"/>
        <item x="18"/>
        <item x="0"/>
        <item x="17"/>
        <item x="5"/>
        <item x="4"/>
        <item x="29"/>
        <item x="31"/>
        <item x="19"/>
        <item x="38"/>
        <item x="28"/>
        <item x="21"/>
        <item x="14"/>
        <item x="34"/>
        <item x="11"/>
        <item x="15"/>
        <item x="44"/>
        <item x="1"/>
        <item x="20"/>
        <item x="35"/>
        <item x="6"/>
        <item x="33"/>
        <item x="50"/>
        <item x="42"/>
        <item x="8"/>
        <item x="24"/>
        <item x="30"/>
        <item x="46"/>
        <item x="2"/>
        <item x="40"/>
        <item x="3"/>
        <item x="47"/>
        <item x="25"/>
        <item x="45"/>
        <item x="53"/>
        <item x="49"/>
        <item x="37"/>
        <item x="10"/>
        <item x="52"/>
        <item x="9"/>
        <item x="48"/>
        <item x="51"/>
        <item x="16"/>
        <item x="41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numFmtId="6" showAll="0">
      <items count="83">
        <item x="33"/>
        <item x="50"/>
        <item x="54"/>
        <item x="14"/>
        <item x="49"/>
        <item x="61"/>
        <item x="24"/>
        <item x="0"/>
        <item x="67"/>
        <item x="32"/>
        <item x="31"/>
        <item x="4"/>
        <item x="43"/>
        <item x="16"/>
        <item x="37"/>
        <item x="53"/>
        <item x="15"/>
        <item x="20"/>
        <item x="8"/>
        <item x="12"/>
        <item x="47"/>
        <item x="46"/>
        <item x="42"/>
        <item x="28"/>
        <item x="64"/>
        <item x="62"/>
        <item x="71"/>
        <item x="38"/>
        <item x="70"/>
        <item x="26"/>
        <item x="52"/>
        <item x="36"/>
        <item x="81"/>
        <item x="34"/>
        <item x="22"/>
        <item x="7"/>
        <item x="41"/>
        <item x="65"/>
        <item x="60"/>
        <item x="30"/>
        <item x="72"/>
        <item x="56"/>
        <item x="21"/>
        <item x="5"/>
        <item x="39"/>
        <item x="10"/>
        <item x="25"/>
        <item x="57"/>
        <item x="27"/>
        <item x="45"/>
        <item x="63"/>
        <item x="6"/>
        <item x="29"/>
        <item x="69"/>
        <item x="17"/>
        <item x="48"/>
        <item x="13"/>
        <item x="18"/>
        <item x="68"/>
        <item x="1"/>
        <item x="80"/>
        <item x="79"/>
        <item x="23"/>
        <item x="75"/>
        <item x="9"/>
        <item x="3"/>
        <item x="78"/>
        <item x="35"/>
        <item x="44"/>
        <item x="40"/>
        <item x="59"/>
        <item x="11"/>
        <item x="2"/>
        <item x="55"/>
        <item x="66"/>
        <item x="74"/>
        <item x="51"/>
        <item x="77"/>
        <item x="76"/>
        <item x="19"/>
        <item x="73"/>
        <item x="5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7">
        <item x="1"/>
        <item x="5"/>
        <item x="2"/>
        <item x="4"/>
        <item x="0"/>
        <item x="3"/>
        <item t="default"/>
      </items>
    </pivotField>
    <pivotField dataField="1"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Target Sales" fld="23" baseField="0" baseItem="0"/>
    <dataField name="Sum of Sales Achieved " fld="24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CIty vs Sales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3:C12" firstHeaderRow="1" firstDataRow="1" firstDataCol="2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Row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multipleItemSelectionAllowed="1" showAll="0">
      <items count="10">
        <item sd="0" x="0"/>
        <item sd="0" x="4"/>
        <item sd="0" x="6"/>
        <item sd="0" x="1"/>
        <item sd="0" x="7"/>
        <item sd="0" x="2"/>
        <item sd="0" x="5"/>
        <item sd="0" x="3"/>
        <item sd="0"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6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numFmtId="6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6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2">
    <field x="9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Total Amount" fld="17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fast delivery vs region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U3:V8" firstHeaderRow="1" firstDataRow="1" firstDataCol="1"/>
  <pivotFields count="3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68" showAll="0">
      <items count="82">
        <item x="52"/>
        <item x="25"/>
        <item x="63"/>
        <item x="49"/>
        <item x="4"/>
        <item x="41"/>
        <item x="48"/>
        <item x="15"/>
        <item x="28"/>
        <item x="74"/>
        <item x="73"/>
        <item x="1"/>
        <item x="13"/>
        <item x="12"/>
        <item x="50"/>
        <item x="61"/>
        <item x="29"/>
        <item x="80"/>
        <item x="7"/>
        <item x="54"/>
        <item x="19"/>
        <item x="57"/>
        <item x="10"/>
        <item x="3"/>
        <item x="53"/>
        <item x="47"/>
        <item x="58"/>
        <item x="31"/>
        <item x="64"/>
        <item x="23"/>
        <item x="76"/>
        <item x="43"/>
        <item x="30"/>
        <item x="72"/>
        <item x="16"/>
        <item x="60"/>
        <item x="77"/>
        <item x="71"/>
        <item x="40"/>
        <item x="45"/>
        <item x="8"/>
        <item x="62"/>
        <item x="34"/>
        <item x="11"/>
        <item x="59"/>
        <item x="6"/>
        <item x="36"/>
        <item x="18"/>
        <item x="14"/>
        <item x="65"/>
        <item x="55"/>
        <item x="39"/>
        <item x="79"/>
        <item x="20"/>
        <item x="27"/>
        <item x="26"/>
        <item x="2"/>
        <item x="24"/>
        <item x="67"/>
        <item x="35"/>
        <item x="51"/>
        <item x="46"/>
        <item x="69"/>
        <item x="5"/>
        <item x="22"/>
        <item x="68"/>
        <item x="21"/>
        <item x="70"/>
        <item x="32"/>
        <item x="56"/>
        <item x="17"/>
        <item x="37"/>
        <item x="66"/>
        <item x="44"/>
        <item x="75"/>
        <item x="42"/>
        <item x="33"/>
        <item x="78"/>
        <item x="38"/>
        <item x="9"/>
        <item x="0"/>
        <item t="default"/>
      </items>
    </pivotField>
    <pivotField compact="0" showAll="0">
      <items count="13">
        <item x="9"/>
        <item x="1"/>
        <item x="10"/>
        <item x="6"/>
        <item x="3"/>
        <item x="8"/>
        <item x="7"/>
        <item x="5"/>
        <item x="11"/>
        <item x="2"/>
        <item x="4"/>
        <item x="0"/>
        <item t="default"/>
      </items>
    </pivotField>
    <pivotField compact="0" showAll="0">
      <items count="33">
        <item x="19"/>
        <item x="24"/>
        <item x="16"/>
        <item x="2"/>
        <item x="18"/>
        <item x="15"/>
        <item x="30"/>
        <item x="1"/>
        <item x="7"/>
        <item x="5"/>
        <item x="29"/>
        <item x="3"/>
        <item x="31"/>
        <item x="11"/>
        <item x="13"/>
        <item x="22"/>
        <item x="25"/>
        <item x="10"/>
        <item x="27"/>
        <item x="6"/>
        <item x="9"/>
        <item x="14"/>
        <item x="28"/>
        <item x="26"/>
        <item x="4"/>
        <item x="20"/>
        <item x="12"/>
        <item x="23"/>
        <item x="8"/>
        <item x="21"/>
        <item x="17"/>
        <item x="0"/>
        <item t="default"/>
      </items>
    </pivotField>
    <pivotField compact="0" showAll="0">
      <items count="30">
        <item x="28"/>
        <item x="14"/>
        <item x="10"/>
        <item x="8"/>
        <item x="7"/>
        <item x="17"/>
        <item x="18"/>
        <item x="5"/>
        <item x="6"/>
        <item x="2"/>
        <item x="21"/>
        <item x="27"/>
        <item x="16"/>
        <item x="25"/>
        <item x="12"/>
        <item x="22"/>
        <item x="23"/>
        <item x="4"/>
        <item x="13"/>
        <item x="9"/>
        <item x="11"/>
        <item x="19"/>
        <item x="20"/>
        <item x="3"/>
        <item x="24"/>
        <item x="26"/>
        <item x="15"/>
        <item x="0"/>
        <item x="1"/>
        <item t="default"/>
      </items>
    </pivotField>
    <pivotField compact="0" showAll="0">
      <items count="43">
        <item x="27"/>
        <item x="31"/>
        <item x="34"/>
        <item x="26"/>
        <item x="20"/>
        <item x="21"/>
        <item x="4"/>
        <item x="13"/>
        <item x="7"/>
        <item x="22"/>
        <item x="37"/>
        <item x="16"/>
        <item x="30"/>
        <item x="19"/>
        <item x="6"/>
        <item x="0"/>
        <item x="33"/>
        <item x="10"/>
        <item x="25"/>
        <item x="15"/>
        <item x="29"/>
        <item x="3"/>
        <item x="17"/>
        <item x="1"/>
        <item x="39"/>
        <item x="24"/>
        <item x="11"/>
        <item x="41"/>
        <item x="32"/>
        <item x="40"/>
        <item x="23"/>
        <item x="28"/>
        <item x="18"/>
        <item x="14"/>
        <item x="5"/>
        <item x="38"/>
        <item x="2"/>
        <item x="9"/>
        <item x="8"/>
        <item x="12"/>
        <item x="35"/>
        <item x="36"/>
        <item t="default"/>
      </items>
    </pivotField>
    <pivotField compact="0" showAll="0">
      <items count="31">
        <item x="6"/>
        <item x="1"/>
        <item x="17"/>
        <item x="9"/>
        <item x="15"/>
        <item x="8"/>
        <item x="14"/>
        <item x="24"/>
        <item x="18"/>
        <item x="2"/>
        <item x="20"/>
        <item x="3"/>
        <item x="10"/>
        <item x="4"/>
        <item x="13"/>
        <item x="22"/>
        <item x="19"/>
        <item x="16"/>
        <item x="27"/>
        <item x="29"/>
        <item x="23"/>
        <item x="21"/>
        <item x="28"/>
        <item x="12"/>
        <item x="5"/>
        <item x="7"/>
        <item x="25"/>
        <item x="11"/>
        <item x="0"/>
        <item x="2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9">
        <item x="2"/>
        <item x="5"/>
        <item x="1"/>
        <item x="4"/>
        <item x="6"/>
        <item x="0"/>
        <item x="3"/>
        <item x="7"/>
        <item t="default"/>
      </items>
    </pivotField>
    <pivotField compact="0" showAll="0">
      <items count="10">
        <item x="0"/>
        <item x="4"/>
        <item x="6"/>
        <item x="1"/>
        <item x="7"/>
        <item x="2"/>
        <item x="5"/>
        <item x="3"/>
        <item x="8"/>
        <item t="default"/>
      </items>
    </pivotField>
    <pivotField compact="0" showAll="0">
      <items count="23">
        <item x="14"/>
        <item x="15"/>
        <item x="7"/>
        <item x="21"/>
        <item x="11"/>
        <item x="9"/>
        <item x="20"/>
        <item x="13"/>
        <item x="17"/>
        <item x="3"/>
        <item x="18"/>
        <item x="0"/>
        <item x="2"/>
        <item x="8"/>
        <item x="12"/>
        <item x="19"/>
        <item x="10"/>
        <item x="1"/>
        <item x="6"/>
        <item x="4"/>
        <item x="5"/>
        <item x="16"/>
        <item t="default"/>
      </items>
    </pivotField>
    <pivotField axis="axisRow" compact="0" multipleItemSelectionAllowed="1" showAll="0" sortType="descending">
      <items count="6">
        <item x="3"/>
        <item x="1"/>
        <item x="0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3">
        <item x="15"/>
        <item x="16"/>
        <item x="4"/>
        <item x="7"/>
        <item x="19"/>
        <item x="1"/>
        <item x="6"/>
        <item x="10"/>
        <item x="18"/>
        <item x="3"/>
        <item x="0"/>
        <item x="21"/>
        <item x="17"/>
        <item x="12"/>
        <item x="20"/>
        <item x="9"/>
        <item x="14"/>
        <item x="8"/>
        <item x="13"/>
        <item x="11"/>
        <item x="2"/>
        <item x="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numFmtId="6" showAll="0">
      <items count="22">
        <item x="16"/>
        <item x="11"/>
        <item x="10"/>
        <item x="19"/>
        <item x="5"/>
        <item x="14"/>
        <item x="6"/>
        <item x="0"/>
        <item x="3"/>
        <item x="20"/>
        <item x="15"/>
        <item x="12"/>
        <item x="9"/>
        <item x="1"/>
        <item x="4"/>
        <item x="7"/>
        <item x="17"/>
        <item x="2"/>
        <item x="18"/>
        <item x="8"/>
        <item x="13"/>
        <item t="default"/>
      </items>
    </pivotField>
    <pivotField compact="0" numFmtId="6" showAll="0">
      <items count="55">
        <item x="23"/>
        <item x="13"/>
        <item x="36"/>
        <item x="39"/>
        <item x="12"/>
        <item x="43"/>
        <item x="27"/>
        <item x="32"/>
        <item x="7"/>
        <item x="26"/>
        <item x="22"/>
        <item x="18"/>
        <item x="0"/>
        <item x="17"/>
        <item x="5"/>
        <item x="4"/>
        <item x="29"/>
        <item x="31"/>
        <item x="19"/>
        <item x="38"/>
        <item x="28"/>
        <item x="21"/>
        <item x="14"/>
        <item x="34"/>
        <item x="11"/>
        <item x="15"/>
        <item x="44"/>
        <item x="1"/>
        <item x="20"/>
        <item x="35"/>
        <item x="6"/>
        <item x="33"/>
        <item x="50"/>
        <item x="42"/>
        <item x="8"/>
        <item x="24"/>
        <item x="30"/>
        <item x="46"/>
        <item x="2"/>
        <item x="40"/>
        <item x="3"/>
        <item x="47"/>
        <item x="25"/>
        <item x="45"/>
        <item x="53"/>
        <item x="49"/>
        <item x="37"/>
        <item x="10"/>
        <item x="52"/>
        <item x="9"/>
        <item x="48"/>
        <item x="51"/>
        <item x="16"/>
        <item x="41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numFmtId="6" showAll="0">
      <items count="83">
        <item x="33"/>
        <item x="50"/>
        <item x="54"/>
        <item x="14"/>
        <item x="49"/>
        <item x="61"/>
        <item x="24"/>
        <item x="0"/>
        <item x="67"/>
        <item x="32"/>
        <item x="31"/>
        <item x="4"/>
        <item x="43"/>
        <item x="16"/>
        <item x="37"/>
        <item x="53"/>
        <item x="15"/>
        <item x="20"/>
        <item x="8"/>
        <item x="12"/>
        <item x="47"/>
        <item x="46"/>
        <item x="42"/>
        <item x="28"/>
        <item x="64"/>
        <item x="62"/>
        <item x="71"/>
        <item x="38"/>
        <item x="70"/>
        <item x="26"/>
        <item x="52"/>
        <item x="36"/>
        <item x="81"/>
        <item x="34"/>
        <item x="22"/>
        <item x="7"/>
        <item x="41"/>
        <item x="65"/>
        <item x="60"/>
        <item x="30"/>
        <item x="72"/>
        <item x="56"/>
        <item x="21"/>
        <item x="5"/>
        <item x="39"/>
        <item x="10"/>
        <item x="25"/>
        <item x="57"/>
        <item x="27"/>
        <item x="45"/>
        <item x="63"/>
        <item x="6"/>
        <item x="29"/>
        <item x="69"/>
        <item x="17"/>
        <item x="48"/>
        <item x="13"/>
        <item x="18"/>
        <item x="68"/>
        <item x="1"/>
        <item x="80"/>
        <item x="79"/>
        <item x="23"/>
        <item x="75"/>
        <item x="9"/>
        <item x="3"/>
        <item x="78"/>
        <item x="35"/>
        <item x="44"/>
        <item x="40"/>
        <item x="59"/>
        <item x="11"/>
        <item x="2"/>
        <item x="55"/>
        <item x="66"/>
        <item x="74"/>
        <item x="51"/>
        <item x="77"/>
        <item x="76"/>
        <item x="19"/>
        <item x="73"/>
        <item x="5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compact="0" showAll="0">
      <items count="9">
        <item x="4"/>
        <item x="1"/>
        <item x="2"/>
        <item x="5"/>
        <item x="6"/>
        <item x="3"/>
        <item x="7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5"/>
        <item x="2"/>
        <item x="4"/>
        <item x="0"/>
        <item x="3"/>
        <item t="default"/>
      </items>
    </pivotField>
    <pivotField compact="0" showAll="0">
      <items count="7">
        <item x="1"/>
        <item x="4"/>
        <item x="2"/>
        <item x="5"/>
        <item x="0"/>
        <item x="3"/>
        <item t="default"/>
      </items>
    </pivotField>
    <pivotField compact="0" showAll="0">
      <items count="7">
        <item x="1"/>
        <item x="2"/>
        <item x="4"/>
        <item x="5"/>
        <item x="0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  <pivotField dataField="1" compact="0" showAll="0">
      <items count="7">
        <item x="1"/>
        <item x="2"/>
        <item x="4"/>
        <item x="5"/>
        <item x="0"/>
        <item x="3"/>
        <item t="default"/>
      </items>
    </pivotField>
  </pivotFields>
  <rowFields count="1">
    <field x="11"/>
  </rowFields>
  <rowItems count="5">
    <i>
      <x v="2"/>
    </i>
    <i>
      <x v="4"/>
    </i>
    <i>
      <x/>
    </i>
    <i>
      <x v="3"/>
    </i>
    <i>
      <x v="1"/>
    </i>
  </rowItems>
  <colItems count="1">
    <i/>
  </colItems>
  <dataFields count="1">
    <dataField name="Cancelled Rate %" fld="29" showDataAs="percentOfCol" baseField="0" baseItem="0" numFmtId="1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K4:L8" firstHeaderRow="1" firstDataRow="1" firstDataCol="1" rowPageCount="1" colPageCount="1"/>
  <pivotFields count="30"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0"/>
        <item x="4"/>
        <item x="6"/>
        <item x="1"/>
        <item x="7"/>
        <item x="2"/>
        <item x="5"/>
        <item x="3"/>
        <item x="8"/>
        <item x="9"/>
        <item t="default"/>
      </items>
    </pivotField>
    <pivotField compact="0" showAll="0"/>
    <pivotField compact="0" showAll="0"/>
    <pivotField axis="axisPage" compact="0" multipleItemSelectionAllowed="1" showAll="0">
      <items count="24">
        <item h="1" x="15"/>
        <item h="1" x="16"/>
        <item h="1" x="4"/>
        <item h="1" x="7"/>
        <item h="1" x="19"/>
        <item h="1" x="1"/>
        <item h="1" x="6"/>
        <item h="1" x="10"/>
        <item h="1" x="18"/>
        <item h="1" x="3"/>
        <item h="1" x="0"/>
        <item h="1" x="21"/>
        <item h="1" x="17"/>
        <item h="1" x="12"/>
        <item h="1" x="20"/>
        <item h="1" x="9"/>
        <item x="14"/>
        <item h="1" x="8"/>
        <item h="1" x="13"/>
        <item h="1" x="11"/>
        <item h="1" x="2"/>
        <item h="1" x="5"/>
        <item h="1" x="2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4">
        <item x="33"/>
        <item x="50"/>
        <item x="54"/>
        <item x="14"/>
        <item x="49"/>
        <item x="61"/>
        <item x="24"/>
        <item x="0"/>
        <item x="67"/>
        <item x="32"/>
        <item x="31"/>
        <item x="4"/>
        <item x="43"/>
        <item x="16"/>
        <item x="37"/>
        <item x="53"/>
        <item x="15"/>
        <item x="20"/>
        <item x="8"/>
        <item x="12"/>
        <item x="47"/>
        <item x="46"/>
        <item x="42"/>
        <item x="28"/>
        <item x="64"/>
        <item x="62"/>
        <item x="71"/>
        <item x="38"/>
        <item x="70"/>
        <item x="26"/>
        <item x="52"/>
        <item x="36"/>
        <item x="81"/>
        <item x="34"/>
        <item x="22"/>
        <item x="7"/>
        <item x="41"/>
        <item x="65"/>
        <item x="60"/>
        <item x="30"/>
        <item x="72"/>
        <item x="56"/>
        <item x="21"/>
        <item x="5"/>
        <item x="39"/>
        <item x="10"/>
        <item x="25"/>
        <item x="57"/>
        <item x="27"/>
        <item x="45"/>
        <item x="63"/>
        <item x="6"/>
        <item x="29"/>
        <item x="69"/>
        <item x="17"/>
        <item x="48"/>
        <item x="13"/>
        <item x="18"/>
        <item x="68"/>
        <item x="1"/>
        <item x="80"/>
        <item x="79"/>
        <item x="23"/>
        <item x="75"/>
        <item x="9"/>
        <item x="3"/>
        <item x="78"/>
        <item x="35"/>
        <item x="44"/>
        <item x="40"/>
        <item x="59"/>
        <item x="11"/>
        <item x="2"/>
        <item x="55"/>
        <item x="66"/>
        <item x="74"/>
        <item x="51"/>
        <item x="77"/>
        <item x="76"/>
        <item x="19"/>
        <item x="73"/>
        <item x="58"/>
        <item x="8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4">
    <i>
      <x v="3"/>
    </i>
    <i>
      <x v="6"/>
    </i>
    <i>
      <x v="7"/>
    </i>
    <i t="grand">
      <x/>
    </i>
  </rowItems>
  <colItems count="1">
    <i/>
  </colItems>
  <pageFields count="1">
    <pageField fld="12" hier="0"/>
  </pageFields>
  <dataFields count="1">
    <dataField name="Sum of Total Amount" fld="17" baseField="0" baseItem="0"/>
  </dataFields>
  <formats count="1">
    <format dxfId="17">
      <pivotArea type="all" dataOnly="0" outline="0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3" name="Product  Sales"/>
    <pivotTable tabId="3" name="CIty vs Sales"/>
    <pivotTable tabId="3" name="Effective Sales "/>
    <pivotTable tabId="3" name="Region Vs Category Sales"/>
    <pivotTable tabId="3" name="Products vs Quantity"/>
  </pivotTables>
  <data>
    <tabular pivotCacheId="1">
      <items count="5">
        <i x="3" s="1"/>
        <i x="0" s="1"/>
        <i x="1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roducts vs Quantity"/>
    <pivotTable tabId="3" name="Target Sales Vs Achieved Sales Regionwise"/>
    <pivotTable tabId="3" name="CIty vs Sales"/>
    <pivotTable tabId="3" name="Product  Sales"/>
    <pivotTable tabId="3" name="Effective Sales "/>
    <pivotTable tabId="3" name="Region Vs Category Sales"/>
    <pivotTable tabId="3" name="%Fast Delivery"/>
  </pivotTables>
  <data>
    <tabular pivotCacheId="1">
      <items count="5">
        <i x="3" s="1"/>
        <i x="1" s="1"/>
        <i x="0" s="1"/>
        <i x="2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3" name="Products vs Quantity"/>
    <pivotTable tabId="3" name="CIty vs Sales"/>
    <pivotTable tabId="3" name="Product  Sales"/>
    <pivotTable tabId="3" name="Effective Sales "/>
    <pivotTable tabId="3" name="Region Vs Category Sales"/>
    <pivotTable tabId="3" name="Target Sales Vs Achieved Sales Regionwise"/>
  </pivotTables>
  <data>
    <tabular pivotCacheId="1">
      <items count="4">
        <i x="1" s="1"/>
        <i x="0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wise_Order" sourceName="Monthwise Order ">
  <pivotTables>
    <pivotTable tabId="3" name="Products vs Quantity"/>
    <pivotTable tabId="3" name="CIty vs Sales"/>
    <pivotTable tabId="3" name="Product  Sales"/>
    <pivotTable tabId="3" name="Effective Sales "/>
    <pivotTable tabId="3" name="Region Vs Category Sales"/>
    <pivotTable tabId="3" name="%Fast Delivery"/>
  </pivotTables>
  <data>
    <tabular pivotCacheId="1">
      <items count="12">
        <i x="9" s="1"/>
        <i x="1" s="1"/>
        <i x="10" s="1"/>
        <i x="6" s="1"/>
        <i x="3" s="1"/>
        <i x="8" s="1"/>
        <i x="7" s="1"/>
        <i x="5" s="1"/>
        <i x="11" s="1"/>
        <i x="2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Method" cache="Slicer_Payment_Method" caption="Payment Method" rowHeight="274320"/>
  <slicer name="Region" cache="Slicer_Region" caption="Region" startItem="1" rowHeight="274320"/>
  <slicer name="Customer Type" cache="Slicer_Customer_Type" caption="Customer Type" rowHeight="274320"/>
  <slicer name="Monthwise Order " cache="Slicer_Monthwise_Order" caption="Monthwise Order " startItem="7" rowHeight="274320"/>
</slicers>
</file>

<file path=xl/tables/table1.xml><?xml version="1.0" encoding="utf-8"?>
<table xmlns="http://schemas.openxmlformats.org/spreadsheetml/2006/main" id="4" name="Table4" displayName="Table4" ref="A2:D7" totalsRowShown="0">
  <autoFilter ref="A2:D7"/>
  <tableColumns count="4">
    <tableColumn id="1" name="Region" dataDxfId="25"/>
    <tableColumn id="2" name="Sales Target" dataDxfId="24"/>
    <tableColumn id="3" name="Sales Achieved" dataDxfId="23">
      <calculatedColumnFormula>SUMIF(Data!$L$2:$L$101,A3,Data!$R$2:$R$101)</calculatedColumnFormula>
    </tableColumn>
    <tableColumn id="4" name="% Sales Target vs Sales Achive" dataDxfId="22">
      <calculatedColumnFormula>C3/B3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F2:I7" totalsRowShown="0">
  <autoFilter ref="F2:I7"/>
  <tableColumns count="4">
    <tableColumn id="1" name="Region" dataDxfId="21"/>
    <tableColumn id="2" name="Fast Delivery">
      <calculatedColumnFormula>COUNTIFS(Data!$L$2:$L$101,$F3,Data!$W$2:$W$101,Data!$W$3)</calculatedColumnFormula>
    </tableColumn>
    <tableColumn id="3" name="Slow Delivery">
      <calculatedColumnFormula>COUNTIFS(Data!$L$2:$L$101,$F3,Data!$W$2:$W$101,Data!$W$4)</calculatedColumnFormula>
    </tableColumn>
    <tableColumn id="4" name="% fast Delivery" dataDxfId="20">
      <calculatedColumnFormula>(G3/(G3+H3))*100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</a:spPr>
      <a:bodyPr vertOverflow="clip" horzOverflow="clip" wrap="square" rtlCol="0" anchor="t"/>
      <a:lstStyle>
        <a:defPPr algn="l">
          <a:defRPr lang="en-US" sz="1600" b="1">
            <a:ln>
              <a:noFill/>
            </a:ln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opLeftCell="V1" workbookViewId="0">
      <pane ySplit="1" topLeftCell="A2" activePane="bottomLeft" state="frozen"/>
      <selection pane="bottomLeft" activeCell="AD2" sqref="AD2"/>
    </sheetView>
  </sheetViews>
  <sheetFormatPr defaultColWidth="9.140625" defaultRowHeight="15"/>
  <cols>
    <col min="1" max="1" width="11.42578125" customWidth="1"/>
    <col min="2" max="2" width="13.5703125" style="34" customWidth="1"/>
    <col min="3" max="3" width="19.140625" style="35" customWidth="1"/>
    <col min="4" max="4" width="14.7109375" style="34" customWidth="1"/>
    <col min="5" max="5" width="13.5703125" style="34" customWidth="1"/>
    <col min="6" max="6" width="14.140625" customWidth="1"/>
    <col min="7" max="7" width="17.7109375" customWidth="1"/>
    <col min="8" max="8" width="15.42578125" customWidth="1"/>
    <col min="9" max="9" width="12.42578125" customWidth="1"/>
    <col min="10" max="10" width="13.7109375" customWidth="1"/>
    <col min="11" max="11" width="11.85546875" customWidth="1"/>
    <col min="12" max="12" width="12.140625" customWidth="1"/>
    <col min="13" max="13" width="19" customWidth="1"/>
    <col min="14" max="14" width="11.28515625" customWidth="1"/>
    <col min="15" max="16" width="16.42578125" style="36" customWidth="1"/>
    <col min="17" max="17" width="11" customWidth="1"/>
    <col min="18" max="18" width="14" style="36" customWidth="1"/>
    <col min="19" max="19" width="17.85546875" customWidth="1"/>
    <col min="20" max="20" width="15.42578125" style="5" customWidth="1"/>
    <col min="21" max="22" width="19.42578125" customWidth="1"/>
    <col min="23" max="23" width="22.140625" customWidth="1"/>
    <col min="24" max="24" width="26.42578125" customWidth="1"/>
    <col min="25" max="25" width="17.42578125" customWidth="1"/>
    <col min="26" max="26" width="22.7109375" customWidth="1"/>
    <col min="27" max="27" width="16.5703125" customWidth="1"/>
    <col min="28" max="28" width="21.42578125" customWidth="1"/>
    <col min="29" max="29" width="15.28515625" customWidth="1"/>
    <col min="30" max="30" width="17.5703125" customWidth="1"/>
  </cols>
  <sheetData>
    <row r="1" spans="1:30">
      <c r="A1" s="37" t="s">
        <v>0</v>
      </c>
      <c r="B1" s="38" t="s">
        <v>1</v>
      </c>
      <c r="C1" s="39" t="s">
        <v>2</v>
      </c>
      <c r="D1" s="38" t="s">
        <v>3</v>
      </c>
      <c r="E1" s="38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46" t="s">
        <v>14</v>
      </c>
      <c r="P1" s="46" t="s">
        <v>15</v>
      </c>
      <c r="Q1" s="37" t="s">
        <v>16</v>
      </c>
      <c r="R1" s="46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53" t="s">
        <v>29</v>
      </c>
    </row>
    <row r="2" spans="1:30">
      <c r="A2" s="40" t="s">
        <v>30</v>
      </c>
      <c r="B2" s="41">
        <v>45291</v>
      </c>
      <c r="C2" s="42" t="s">
        <v>31</v>
      </c>
      <c r="D2" s="41"/>
      <c r="E2" s="41">
        <v>45293</v>
      </c>
      <c r="F2" s="40" t="s">
        <v>32</v>
      </c>
      <c r="G2" s="40" t="s">
        <v>33</v>
      </c>
      <c r="H2" s="40" t="s">
        <v>34</v>
      </c>
      <c r="I2" s="40" t="s">
        <v>35</v>
      </c>
      <c r="J2" s="40" t="s">
        <v>36</v>
      </c>
      <c r="K2" s="40" t="s">
        <v>37</v>
      </c>
      <c r="L2" s="47" t="s">
        <v>38</v>
      </c>
      <c r="M2" s="40" t="s">
        <v>39</v>
      </c>
      <c r="N2" s="40" t="s">
        <v>40</v>
      </c>
      <c r="O2" s="48">
        <v>42</v>
      </c>
      <c r="P2" s="48">
        <v>44</v>
      </c>
      <c r="Q2" s="40">
        <v>1</v>
      </c>
      <c r="R2" s="48">
        <v>44</v>
      </c>
      <c r="S2" s="40" t="s">
        <v>41</v>
      </c>
      <c r="T2" s="40" t="s">
        <v>42</v>
      </c>
      <c r="U2" s="40" t="s">
        <v>43</v>
      </c>
      <c r="V2" s="51" t="str">
        <f>IF(DATEDIF($B2,$D2,"D")&gt;0,DATEDIF($B2,$D2,"D"),"Not Delivered")</f>
        <v>Not Delivered</v>
      </c>
      <c r="W2" s="40" t="str">
        <f>IF(AND(DATEDIF($B2,$D2,"D")&gt;0,DATEDIF($B2,$D2,"D")&lt;=2),"Fast",IF(AND(DATEDIF($B2,$D2,"D")&gt;0,DATEDIF($B2,$D2,"D")&gt;2,$T2="Delivered"),"Slow",IF(T2="In Transit","Slow","Cancelled Order")))</f>
        <v>Cancelled Order</v>
      </c>
      <c r="X2" s="40" t="e">
        <f ca="1">_xlfn.XLOOKUP($L$2,'Regional goal'!$A$3:$A$7,'Regional goal'!$B$3:$B$7)</f>
        <v>#NAME?</v>
      </c>
      <c r="Y2" s="40" t="e">
        <f ca="1">_xlfn.XLOOKUP($L$2,'Regional goal'!$A$3:$A$7,'Regional goal'!$C$3:$C$7)</f>
        <v>#NAME?</v>
      </c>
      <c r="Z2" s="40">
        <f>COUNTIFS(T2:T101,"Cancelled",L2:L101,"North")</f>
        <v>10</v>
      </c>
      <c r="AA2" s="40">
        <v>3</v>
      </c>
      <c r="AB2" s="40">
        <v>12</v>
      </c>
      <c r="AC2" s="54">
        <f>AA2/(AA2+AB2)</f>
        <v>0.2</v>
      </c>
      <c r="AD2" s="54">
        <f>Z2/30</f>
        <v>0.33333333333333298</v>
      </c>
    </row>
    <row r="3" spans="1:30">
      <c r="A3" s="43" t="s">
        <v>44</v>
      </c>
      <c r="B3" s="44">
        <v>44979</v>
      </c>
      <c r="C3" s="45" t="s">
        <v>45</v>
      </c>
      <c r="D3" s="44">
        <v>44981</v>
      </c>
      <c r="E3" s="44"/>
      <c r="F3" s="43" t="s">
        <v>46</v>
      </c>
      <c r="G3" s="43" t="s">
        <v>47</v>
      </c>
      <c r="H3" s="43" t="s">
        <v>34</v>
      </c>
      <c r="I3" s="43" t="s">
        <v>48</v>
      </c>
      <c r="J3" s="43" t="s">
        <v>49</v>
      </c>
      <c r="K3" s="43" t="s">
        <v>50</v>
      </c>
      <c r="L3" s="49" t="s">
        <v>51</v>
      </c>
      <c r="M3" s="43" t="s">
        <v>52</v>
      </c>
      <c r="N3" s="43" t="s">
        <v>53</v>
      </c>
      <c r="O3" s="50">
        <v>89</v>
      </c>
      <c r="P3" s="50">
        <v>96</v>
      </c>
      <c r="Q3" s="43">
        <v>4</v>
      </c>
      <c r="R3" s="50">
        <v>384</v>
      </c>
      <c r="S3" s="43" t="s">
        <v>54</v>
      </c>
      <c r="T3" s="43" t="s">
        <v>55</v>
      </c>
      <c r="U3" s="43" t="s">
        <v>43</v>
      </c>
      <c r="V3" s="52">
        <f t="shared" ref="V3:V34" si="0">IF(DATEDIF($B3,$D3,"D")&gt;0,DATEDIF($B3,$D3,"D"),"Not Delivered")</f>
        <v>2</v>
      </c>
      <c r="W3" s="43" t="str">
        <f t="shared" ref="W3:W34" si="1">IF(AND(DATEDIF($B3,$D3,"D")&gt;0,DATEDIF($B3,$D3,"D")&lt;=2),"Fast",IF(AND(DATEDIF($B3,$D3,"D")&gt;0,DATEDIF($B3,$D3,"D")&gt;2,$T3="Delivered"),"Slow",IF(T3="In Transit","Slow","Cancelled Order")))</f>
        <v>Fast</v>
      </c>
      <c r="X3" s="43" t="e">
        <f ca="1">_xlfn.XLOOKUP($L$3,'Regional goal'!$A$3:$A$7,'Regional goal'!$B$3:$B$7)</f>
        <v>#NAME?</v>
      </c>
      <c r="Y3" s="43" t="e">
        <f ca="1">_xlfn.XLOOKUP($L$3,'Regional goal'!$A$3:$A$7,'Regional goal'!$C$3:$C$7)</f>
        <v>#NAME?</v>
      </c>
      <c r="Z3" s="43">
        <f>COUNTIFS(T2:T101,"Cancelled",L2:L101,"East")</f>
        <v>3</v>
      </c>
      <c r="AA3" s="43">
        <v>2</v>
      </c>
      <c r="AB3" s="43">
        <v>13</v>
      </c>
      <c r="AC3" s="55">
        <f>AA3/(AA3+AB3)</f>
        <v>0.133333333333333</v>
      </c>
      <c r="AD3" s="55">
        <f>Z3/30</f>
        <v>0.1</v>
      </c>
    </row>
    <row r="4" spans="1:30">
      <c r="A4" s="40" t="s">
        <v>56</v>
      </c>
      <c r="B4" s="41">
        <v>45210</v>
      </c>
      <c r="C4" s="42" t="s">
        <v>57</v>
      </c>
      <c r="D4" s="41"/>
      <c r="E4" s="41"/>
      <c r="F4" s="40" t="s">
        <v>32</v>
      </c>
      <c r="G4" s="40" t="s">
        <v>33</v>
      </c>
      <c r="H4" s="40" t="s">
        <v>34</v>
      </c>
      <c r="I4" s="40" t="s">
        <v>35</v>
      </c>
      <c r="J4" s="40" t="s">
        <v>36</v>
      </c>
      <c r="K4" s="40" t="s">
        <v>58</v>
      </c>
      <c r="L4" s="47" t="s">
        <v>59</v>
      </c>
      <c r="M4" s="40" t="s">
        <v>60</v>
      </c>
      <c r="N4" s="40" t="s">
        <v>40</v>
      </c>
      <c r="O4" s="48">
        <v>185</v>
      </c>
      <c r="P4" s="48">
        <v>194</v>
      </c>
      <c r="Q4" s="40">
        <v>4</v>
      </c>
      <c r="R4" s="48">
        <v>776</v>
      </c>
      <c r="S4" s="40" t="s">
        <v>54</v>
      </c>
      <c r="T4" s="40" t="s">
        <v>61</v>
      </c>
      <c r="U4" s="40" t="s">
        <v>62</v>
      </c>
      <c r="V4" s="51" t="str">
        <f t="shared" si="0"/>
        <v>Not Delivered</v>
      </c>
      <c r="W4" s="40" t="str">
        <f t="shared" si="1"/>
        <v>Slow</v>
      </c>
      <c r="X4" s="40" t="e">
        <f ca="1">_xlfn.XLOOKUP($L$4,'Regional goal'!$A$3:$A$7,'Regional goal'!$B$3:$B$7)</f>
        <v>#NAME?</v>
      </c>
      <c r="Y4" s="40" t="e">
        <f ca="1">_xlfn.XLOOKUP($L$4,'Regional goal'!$A$3:$A$7,'Regional goal'!$C$3:$C$7)</f>
        <v>#NAME?</v>
      </c>
      <c r="Z4" s="40">
        <f>COUNTIFS(T2:T101,"Cancelled",L2:L101,"South")</f>
        <v>4</v>
      </c>
      <c r="AA4" s="40">
        <v>3</v>
      </c>
      <c r="AB4" s="40">
        <v>13</v>
      </c>
      <c r="AC4" s="54">
        <f>AA4/(AA4+AB4)</f>
        <v>0.1875</v>
      </c>
      <c r="AD4" s="54">
        <f>Z4/30</f>
        <v>0.133333333333333</v>
      </c>
    </row>
    <row r="5" spans="1:30">
      <c r="A5" s="43" t="s">
        <v>63</v>
      </c>
      <c r="B5" s="44">
        <v>45051</v>
      </c>
      <c r="C5" s="45" t="s">
        <v>64</v>
      </c>
      <c r="D5" s="44"/>
      <c r="E5" s="44">
        <v>45057</v>
      </c>
      <c r="F5" s="43" t="s">
        <v>65</v>
      </c>
      <c r="G5" s="43" t="s">
        <v>66</v>
      </c>
      <c r="H5" s="43" t="s">
        <v>67</v>
      </c>
      <c r="I5" s="43" t="s">
        <v>68</v>
      </c>
      <c r="J5" s="43" t="s">
        <v>69</v>
      </c>
      <c r="K5" s="43" t="s">
        <v>58</v>
      </c>
      <c r="L5" s="43" t="s">
        <v>38</v>
      </c>
      <c r="M5" s="43" t="s">
        <v>60</v>
      </c>
      <c r="N5" s="43" t="s">
        <v>40</v>
      </c>
      <c r="O5" s="50">
        <v>185</v>
      </c>
      <c r="P5" s="50">
        <v>196</v>
      </c>
      <c r="Q5" s="43">
        <v>3</v>
      </c>
      <c r="R5" s="50">
        <v>588</v>
      </c>
      <c r="S5" s="43" t="s">
        <v>70</v>
      </c>
      <c r="T5" s="43" t="s">
        <v>42</v>
      </c>
      <c r="U5" s="43" t="s">
        <v>71</v>
      </c>
      <c r="V5" s="52" t="str">
        <f t="shared" si="0"/>
        <v>Not Delivered</v>
      </c>
      <c r="W5" s="43" t="str">
        <f t="shared" si="1"/>
        <v>Cancelled Order</v>
      </c>
      <c r="X5" s="43"/>
      <c r="Y5" s="43"/>
      <c r="Z5" s="43"/>
      <c r="AA5" s="43"/>
      <c r="AB5" s="43"/>
      <c r="AC5" s="43"/>
      <c r="AD5" s="55"/>
    </row>
    <row r="6" spans="1:30">
      <c r="A6" s="40" t="s">
        <v>72</v>
      </c>
      <c r="B6" s="41">
        <v>44959</v>
      </c>
      <c r="C6" s="42" t="s">
        <v>45</v>
      </c>
      <c r="D6" s="41">
        <v>44962</v>
      </c>
      <c r="E6" s="41"/>
      <c r="F6" s="40" t="s">
        <v>73</v>
      </c>
      <c r="G6" s="40" t="s">
        <v>74</v>
      </c>
      <c r="H6" s="40" t="s">
        <v>34</v>
      </c>
      <c r="I6" s="40" t="s">
        <v>75</v>
      </c>
      <c r="J6" s="40" t="s">
        <v>76</v>
      </c>
      <c r="K6" s="40" t="s">
        <v>77</v>
      </c>
      <c r="L6" s="40" t="s">
        <v>38</v>
      </c>
      <c r="M6" s="40" t="s">
        <v>78</v>
      </c>
      <c r="N6" s="40" t="s">
        <v>79</v>
      </c>
      <c r="O6" s="48">
        <v>55</v>
      </c>
      <c r="P6" s="48">
        <v>59</v>
      </c>
      <c r="Q6" s="40">
        <v>1</v>
      </c>
      <c r="R6" s="48">
        <v>59</v>
      </c>
      <c r="S6" s="40" t="s">
        <v>70</v>
      </c>
      <c r="T6" s="40" t="s">
        <v>55</v>
      </c>
      <c r="U6" s="40" t="s">
        <v>80</v>
      </c>
      <c r="V6" s="51">
        <f t="shared" si="0"/>
        <v>3</v>
      </c>
      <c r="W6" s="40" t="str">
        <f t="shared" si="1"/>
        <v>Slow</v>
      </c>
      <c r="X6" s="40"/>
      <c r="Y6" s="40"/>
      <c r="Z6" s="40"/>
      <c r="AA6" s="40"/>
      <c r="AB6" s="40"/>
      <c r="AC6" s="40"/>
      <c r="AD6" s="54"/>
    </row>
    <row r="7" spans="1:30">
      <c r="A7" s="43" t="s">
        <v>81</v>
      </c>
      <c r="B7" s="44">
        <v>45231</v>
      </c>
      <c r="C7" s="45" t="s">
        <v>82</v>
      </c>
      <c r="D7" s="44"/>
      <c r="E7" s="44">
        <v>45232</v>
      </c>
      <c r="F7" s="43" t="s">
        <v>83</v>
      </c>
      <c r="G7" s="43" t="s">
        <v>84</v>
      </c>
      <c r="H7" s="43" t="s">
        <v>67</v>
      </c>
      <c r="I7" s="43" t="s">
        <v>75</v>
      </c>
      <c r="J7" s="43" t="s">
        <v>76</v>
      </c>
      <c r="K7" s="43" t="s">
        <v>77</v>
      </c>
      <c r="L7" s="43" t="s">
        <v>38</v>
      </c>
      <c r="M7" s="43" t="s">
        <v>78</v>
      </c>
      <c r="N7" s="43" t="s">
        <v>79</v>
      </c>
      <c r="O7" s="50">
        <v>55</v>
      </c>
      <c r="P7" s="50">
        <v>58</v>
      </c>
      <c r="Q7" s="43">
        <v>4</v>
      </c>
      <c r="R7" s="50">
        <v>232</v>
      </c>
      <c r="S7" s="43" t="s">
        <v>85</v>
      </c>
      <c r="T7" s="43" t="s">
        <v>42</v>
      </c>
      <c r="U7" s="43" t="s">
        <v>43</v>
      </c>
      <c r="V7" s="52" t="str">
        <f t="shared" si="0"/>
        <v>Not Delivered</v>
      </c>
      <c r="W7" s="43" t="str">
        <f t="shared" si="1"/>
        <v>Cancelled Order</v>
      </c>
      <c r="X7" s="43"/>
      <c r="Y7" s="43"/>
      <c r="Z7" s="43"/>
      <c r="AA7" s="43"/>
      <c r="AB7" s="43"/>
      <c r="AC7" s="43"/>
      <c r="AD7" s="55"/>
    </row>
    <row r="8" spans="1:30">
      <c r="A8" s="40" t="s">
        <v>86</v>
      </c>
      <c r="B8" s="41">
        <v>45152</v>
      </c>
      <c r="C8" s="42" t="s">
        <v>87</v>
      </c>
      <c r="D8" s="41"/>
      <c r="E8" s="41">
        <v>45156</v>
      </c>
      <c r="F8" s="40" t="s">
        <v>88</v>
      </c>
      <c r="G8" s="40" t="s">
        <v>89</v>
      </c>
      <c r="H8" s="40" t="s">
        <v>90</v>
      </c>
      <c r="I8" s="40" t="s">
        <v>35</v>
      </c>
      <c r="J8" s="40" t="s">
        <v>36</v>
      </c>
      <c r="K8" s="40" t="s">
        <v>91</v>
      </c>
      <c r="L8" s="47" t="s">
        <v>92</v>
      </c>
      <c r="M8" s="40" t="s">
        <v>93</v>
      </c>
      <c r="N8" s="40" t="s">
        <v>94</v>
      </c>
      <c r="O8" s="48">
        <v>99</v>
      </c>
      <c r="P8" s="48">
        <v>105</v>
      </c>
      <c r="Q8" s="40">
        <v>3</v>
      </c>
      <c r="R8" s="48">
        <v>315</v>
      </c>
      <c r="S8" s="40" t="s">
        <v>95</v>
      </c>
      <c r="T8" s="40" t="s">
        <v>42</v>
      </c>
      <c r="U8" s="40" t="s">
        <v>43</v>
      </c>
      <c r="V8" s="51" t="str">
        <f t="shared" si="0"/>
        <v>Not Delivered</v>
      </c>
      <c r="W8" s="40" t="str">
        <f t="shared" si="1"/>
        <v>Cancelled Order</v>
      </c>
      <c r="X8" s="40" t="e">
        <f ca="1">_xlfn.XLOOKUP(L8,'Regional goal'!$A$3:$A$7,'Regional goal'!$B$3:$B$7)</f>
        <v>#NAME?</v>
      </c>
      <c r="Y8" s="40" t="e">
        <f ca="1">_xlfn.XLOOKUP($L$8,'Regional goal'!$A$3:$A$7,'Regional goal'!$C$3:$C$7)</f>
        <v>#NAME?</v>
      </c>
      <c r="Z8" s="40">
        <f>COUNTIFS(T2:T101,"Cancelled",L2:L101,"Central")</f>
        <v>5</v>
      </c>
      <c r="AA8" s="40">
        <v>1</v>
      </c>
      <c r="AB8" s="40">
        <v>8</v>
      </c>
      <c r="AC8" s="54">
        <f>AA8/(AA8+AB8)</f>
        <v>0.11111111111111099</v>
      </c>
      <c r="AD8" s="54">
        <f>Z8/30</f>
        <v>0.16666666666666699</v>
      </c>
    </row>
    <row r="9" spans="1:30">
      <c r="A9" s="43" t="s">
        <v>96</v>
      </c>
      <c r="B9" s="44">
        <v>45017</v>
      </c>
      <c r="C9" s="45" t="s">
        <v>97</v>
      </c>
      <c r="D9" s="44"/>
      <c r="E9" s="44">
        <v>45022</v>
      </c>
      <c r="F9" s="43" t="s">
        <v>98</v>
      </c>
      <c r="G9" s="43" t="s">
        <v>99</v>
      </c>
      <c r="H9" s="43" t="s">
        <v>90</v>
      </c>
      <c r="I9" s="43" t="s">
        <v>75</v>
      </c>
      <c r="J9" s="43" t="s">
        <v>76</v>
      </c>
      <c r="K9" s="43" t="s">
        <v>100</v>
      </c>
      <c r="L9" s="49" t="s">
        <v>101</v>
      </c>
      <c r="M9" s="43" t="s">
        <v>102</v>
      </c>
      <c r="N9" s="43" t="s">
        <v>40</v>
      </c>
      <c r="O9" s="50">
        <v>34</v>
      </c>
      <c r="P9" s="50">
        <v>37</v>
      </c>
      <c r="Q9" s="43">
        <v>5</v>
      </c>
      <c r="R9" s="50">
        <v>185</v>
      </c>
      <c r="S9" s="43" t="s">
        <v>70</v>
      </c>
      <c r="T9" s="43" t="s">
        <v>42</v>
      </c>
      <c r="U9" s="43" t="s">
        <v>43</v>
      </c>
      <c r="V9" s="52" t="str">
        <f t="shared" si="0"/>
        <v>Not Delivered</v>
      </c>
      <c r="W9" s="43" t="str">
        <f t="shared" si="1"/>
        <v>Cancelled Order</v>
      </c>
      <c r="X9" s="43" t="e">
        <f ca="1">_xlfn.XLOOKUP($L$9,'Regional goal'!$A$3:$A$7,'Regional goal'!$B$3:$B$7)</f>
        <v>#NAME?</v>
      </c>
      <c r="Y9" s="43" t="e">
        <f ca="1">_xlfn.XLOOKUP($L$9,'Regional goal'!$A$3:$A$7,'Regional goal'!$C$3:$C$7)</f>
        <v>#NAME?</v>
      </c>
      <c r="Z9" s="43">
        <f>COUNTIFS(T2:T101,"Cancelled",L2:L101,"West")</f>
        <v>8</v>
      </c>
      <c r="AA9" s="43">
        <v>2</v>
      </c>
      <c r="AB9" s="43">
        <v>13</v>
      </c>
      <c r="AC9" s="55">
        <f>AA9/(AA9+AB9)</f>
        <v>0.133333333333333</v>
      </c>
      <c r="AD9" s="55">
        <f>Z9/30</f>
        <v>0.266666666666667</v>
      </c>
    </row>
    <row r="10" spans="1:30">
      <c r="A10" s="40" t="s">
        <v>103</v>
      </c>
      <c r="B10" s="41">
        <v>45128</v>
      </c>
      <c r="C10" s="42" t="s">
        <v>104</v>
      </c>
      <c r="D10" s="41"/>
      <c r="E10" s="41"/>
      <c r="F10" s="40" t="s">
        <v>105</v>
      </c>
      <c r="G10" s="40" t="s">
        <v>106</v>
      </c>
      <c r="H10" s="40" t="s">
        <v>90</v>
      </c>
      <c r="I10" s="40" t="s">
        <v>75</v>
      </c>
      <c r="J10" s="40" t="s">
        <v>76</v>
      </c>
      <c r="K10" s="40" t="s">
        <v>107</v>
      </c>
      <c r="L10" s="40" t="s">
        <v>92</v>
      </c>
      <c r="M10" s="40" t="s">
        <v>108</v>
      </c>
      <c r="N10" s="40" t="s">
        <v>79</v>
      </c>
      <c r="O10" s="48">
        <v>40</v>
      </c>
      <c r="P10" s="48">
        <v>44</v>
      </c>
      <c r="Q10" s="40">
        <v>2</v>
      </c>
      <c r="R10" s="48">
        <v>88</v>
      </c>
      <c r="S10" s="40" t="s">
        <v>54</v>
      </c>
      <c r="T10" s="40" t="s">
        <v>61</v>
      </c>
      <c r="U10" s="40" t="s">
        <v>80</v>
      </c>
      <c r="V10" s="51" t="str">
        <f t="shared" si="0"/>
        <v>Not Delivered</v>
      </c>
      <c r="W10" s="40" t="str">
        <f t="shared" si="1"/>
        <v>Slow</v>
      </c>
      <c r="X10" s="40"/>
      <c r="Y10" s="40"/>
      <c r="Z10" s="40"/>
      <c r="AA10" s="40"/>
      <c r="AB10" s="40"/>
      <c r="AC10" s="40"/>
      <c r="AD10" s="40"/>
    </row>
    <row r="11" spans="1:30">
      <c r="A11" s="43" t="s">
        <v>109</v>
      </c>
      <c r="B11" s="44">
        <v>45289</v>
      </c>
      <c r="C11" s="45" t="s">
        <v>31</v>
      </c>
      <c r="D11" s="44"/>
      <c r="E11" s="44"/>
      <c r="F11" s="43" t="s">
        <v>98</v>
      </c>
      <c r="G11" s="43" t="s">
        <v>99</v>
      </c>
      <c r="H11" s="43" t="s">
        <v>90</v>
      </c>
      <c r="I11" s="43" t="s">
        <v>75</v>
      </c>
      <c r="J11" s="43" t="s">
        <v>76</v>
      </c>
      <c r="K11" s="43" t="s">
        <v>110</v>
      </c>
      <c r="L11" s="43" t="s">
        <v>59</v>
      </c>
      <c r="M11" s="43" t="s">
        <v>111</v>
      </c>
      <c r="N11" s="43" t="s">
        <v>40</v>
      </c>
      <c r="O11" s="50">
        <v>129</v>
      </c>
      <c r="P11" s="50">
        <v>141</v>
      </c>
      <c r="Q11" s="43">
        <v>4</v>
      </c>
      <c r="R11" s="50">
        <v>564</v>
      </c>
      <c r="S11" s="43" t="s">
        <v>95</v>
      </c>
      <c r="T11" s="43" t="s">
        <v>61</v>
      </c>
      <c r="U11" s="43" t="s">
        <v>43</v>
      </c>
      <c r="V11" s="52" t="str">
        <f t="shared" si="0"/>
        <v>Not Delivered</v>
      </c>
      <c r="W11" s="43" t="str">
        <f t="shared" si="1"/>
        <v>Slow</v>
      </c>
      <c r="X11" s="43"/>
      <c r="Y11" s="43"/>
      <c r="Z11" s="43"/>
      <c r="AA11" s="43"/>
      <c r="AB11" s="43"/>
      <c r="AC11" s="43"/>
      <c r="AD11" s="43"/>
    </row>
    <row r="12" spans="1:30">
      <c r="A12" s="40" t="s">
        <v>112</v>
      </c>
      <c r="B12" s="41">
        <v>45050</v>
      </c>
      <c r="C12" s="42" t="s">
        <v>64</v>
      </c>
      <c r="D12" s="41"/>
      <c r="E12" s="41">
        <v>45054</v>
      </c>
      <c r="F12" s="40" t="s">
        <v>113</v>
      </c>
      <c r="G12" s="40" t="s">
        <v>114</v>
      </c>
      <c r="H12" s="40" t="s">
        <v>90</v>
      </c>
      <c r="I12" s="40" t="s">
        <v>115</v>
      </c>
      <c r="J12" s="40" t="s">
        <v>116</v>
      </c>
      <c r="K12" s="40" t="s">
        <v>117</v>
      </c>
      <c r="L12" s="40" t="s">
        <v>59</v>
      </c>
      <c r="M12" s="40" t="s">
        <v>118</v>
      </c>
      <c r="N12" s="40" t="s">
        <v>94</v>
      </c>
      <c r="O12" s="48">
        <v>229</v>
      </c>
      <c r="P12" s="48">
        <v>249</v>
      </c>
      <c r="Q12" s="40">
        <v>1</v>
      </c>
      <c r="R12" s="48">
        <v>249</v>
      </c>
      <c r="S12" s="40" t="s">
        <v>85</v>
      </c>
      <c r="T12" s="40" t="s">
        <v>42</v>
      </c>
      <c r="U12" s="40" t="s">
        <v>62</v>
      </c>
      <c r="V12" s="51" t="str">
        <f t="shared" si="0"/>
        <v>Not Delivered</v>
      </c>
      <c r="W12" s="40" t="str">
        <f t="shared" si="1"/>
        <v>Cancelled Order</v>
      </c>
      <c r="X12" s="40"/>
      <c r="Y12" s="40"/>
      <c r="Z12" s="40"/>
      <c r="AA12" s="40"/>
      <c r="AB12" s="40"/>
      <c r="AC12" s="40"/>
      <c r="AD12" s="40"/>
    </row>
    <row r="13" spans="1:30">
      <c r="A13" s="43" t="s">
        <v>119</v>
      </c>
      <c r="B13" s="44">
        <v>45132</v>
      </c>
      <c r="C13" s="45" t="s">
        <v>104</v>
      </c>
      <c r="D13" s="44"/>
      <c r="E13" s="44"/>
      <c r="F13" s="43" t="s">
        <v>120</v>
      </c>
      <c r="G13" s="43" t="s">
        <v>114</v>
      </c>
      <c r="H13" s="43" t="s">
        <v>34</v>
      </c>
      <c r="I13" s="43" t="s">
        <v>35</v>
      </c>
      <c r="J13" s="43" t="s">
        <v>36</v>
      </c>
      <c r="K13" s="43" t="s">
        <v>117</v>
      </c>
      <c r="L13" s="43" t="s">
        <v>92</v>
      </c>
      <c r="M13" s="43" t="s">
        <v>118</v>
      </c>
      <c r="N13" s="43" t="s">
        <v>94</v>
      </c>
      <c r="O13" s="50">
        <v>229</v>
      </c>
      <c r="P13" s="50">
        <v>247</v>
      </c>
      <c r="Q13" s="43">
        <v>3</v>
      </c>
      <c r="R13" s="50">
        <v>741</v>
      </c>
      <c r="S13" s="43" t="s">
        <v>85</v>
      </c>
      <c r="T13" s="43" t="s">
        <v>61</v>
      </c>
      <c r="U13" s="43" t="s">
        <v>121</v>
      </c>
      <c r="V13" s="52" t="str">
        <f t="shared" si="0"/>
        <v>Not Delivered</v>
      </c>
      <c r="W13" s="43" t="str">
        <f t="shared" si="1"/>
        <v>Slow</v>
      </c>
      <c r="X13" s="43"/>
      <c r="Y13" s="43"/>
      <c r="Z13" s="43"/>
      <c r="AA13" s="43"/>
      <c r="AB13" s="43"/>
      <c r="AC13" s="43"/>
      <c r="AD13" s="43"/>
    </row>
    <row r="14" spans="1:30">
      <c r="A14" s="40" t="s">
        <v>122</v>
      </c>
      <c r="B14" s="41">
        <v>44982</v>
      </c>
      <c r="C14" s="42" t="s">
        <v>45</v>
      </c>
      <c r="D14" s="41"/>
      <c r="E14" s="41">
        <v>44985</v>
      </c>
      <c r="F14" s="40" t="s">
        <v>123</v>
      </c>
      <c r="G14" s="40" t="s">
        <v>124</v>
      </c>
      <c r="H14" s="40" t="s">
        <v>34</v>
      </c>
      <c r="I14" s="40" t="s">
        <v>35</v>
      </c>
      <c r="J14" s="40" t="s">
        <v>36</v>
      </c>
      <c r="K14" s="40" t="s">
        <v>125</v>
      </c>
      <c r="L14" s="40" t="s">
        <v>92</v>
      </c>
      <c r="M14" s="40" t="s">
        <v>126</v>
      </c>
      <c r="N14" s="40" t="s">
        <v>79</v>
      </c>
      <c r="O14" s="48">
        <v>89</v>
      </c>
      <c r="P14" s="48">
        <v>96</v>
      </c>
      <c r="Q14" s="40">
        <v>1</v>
      </c>
      <c r="R14" s="48">
        <v>96</v>
      </c>
      <c r="S14" s="40" t="s">
        <v>41</v>
      </c>
      <c r="T14" s="40" t="s">
        <v>42</v>
      </c>
      <c r="U14" s="40" t="s">
        <v>80</v>
      </c>
      <c r="V14" s="51" t="str">
        <f t="shared" si="0"/>
        <v>Not Delivered</v>
      </c>
      <c r="W14" s="40" t="str">
        <f t="shared" si="1"/>
        <v>Cancelled Order</v>
      </c>
      <c r="X14" s="40"/>
      <c r="Y14" s="40"/>
      <c r="Z14" s="40"/>
      <c r="AA14" s="40"/>
      <c r="AB14" s="40"/>
      <c r="AC14" s="40"/>
      <c r="AD14" s="40"/>
    </row>
    <row r="15" spans="1:30">
      <c r="A15" s="43" t="s">
        <v>127</v>
      </c>
      <c r="B15" s="44">
        <v>44981</v>
      </c>
      <c r="C15" s="45" t="s">
        <v>45</v>
      </c>
      <c r="D15" s="44"/>
      <c r="E15" s="44">
        <v>44982</v>
      </c>
      <c r="F15" s="43" t="s">
        <v>128</v>
      </c>
      <c r="G15" s="43" t="s">
        <v>129</v>
      </c>
      <c r="H15" s="43" t="s">
        <v>67</v>
      </c>
      <c r="I15" s="43" t="s">
        <v>68</v>
      </c>
      <c r="J15" s="43" t="s">
        <v>69</v>
      </c>
      <c r="K15" s="43" t="s">
        <v>130</v>
      </c>
      <c r="L15" s="43" t="s">
        <v>101</v>
      </c>
      <c r="M15" s="43" t="s">
        <v>131</v>
      </c>
      <c r="N15" s="43" t="s">
        <v>94</v>
      </c>
      <c r="O15" s="50">
        <v>69</v>
      </c>
      <c r="P15" s="50">
        <v>74</v>
      </c>
      <c r="Q15" s="43">
        <v>5</v>
      </c>
      <c r="R15" s="50">
        <v>370</v>
      </c>
      <c r="S15" s="43" t="s">
        <v>41</v>
      </c>
      <c r="T15" s="43" t="s">
        <v>42</v>
      </c>
      <c r="U15" s="43" t="s">
        <v>80</v>
      </c>
      <c r="V15" s="52" t="str">
        <f t="shared" si="0"/>
        <v>Not Delivered</v>
      </c>
      <c r="W15" s="43" t="str">
        <f t="shared" si="1"/>
        <v>Cancelled Order</v>
      </c>
      <c r="X15" s="43"/>
      <c r="Y15" s="43"/>
      <c r="Z15" s="43"/>
      <c r="AA15" s="43"/>
      <c r="AB15" s="43"/>
      <c r="AC15" s="43"/>
      <c r="AD15" s="43"/>
    </row>
    <row r="16" spans="1:30">
      <c r="A16" s="40" t="s">
        <v>132</v>
      </c>
      <c r="B16" s="41">
        <v>45164</v>
      </c>
      <c r="C16" s="42" t="s">
        <v>87</v>
      </c>
      <c r="D16" s="41"/>
      <c r="E16" s="41">
        <v>45171</v>
      </c>
      <c r="F16" s="40" t="s">
        <v>128</v>
      </c>
      <c r="G16" s="40" t="s">
        <v>129</v>
      </c>
      <c r="H16" s="40" t="s">
        <v>67</v>
      </c>
      <c r="I16" s="40" t="s">
        <v>68</v>
      </c>
      <c r="J16" s="40" t="s">
        <v>69</v>
      </c>
      <c r="K16" s="40" t="s">
        <v>133</v>
      </c>
      <c r="L16" s="40" t="s">
        <v>59</v>
      </c>
      <c r="M16" s="40" t="s">
        <v>134</v>
      </c>
      <c r="N16" s="40" t="s">
        <v>79</v>
      </c>
      <c r="O16" s="48">
        <v>25</v>
      </c>
      <c r="P16" s="48">
        <v>27</v>
      </c>
      <c r="Q16" s="40">
        <v>1</v>
      </c>
      <c r="R16" s="48">
        <v>27</v>
      </c>
      <c r="S16" s="40" t="s">
        <v>54</v>
      </c>
      <c r="T16" s="40" t="s">
        <v>42</v>
      </c>
      <c r="U16" s="40" t="s">
        <v>80</v>
      </c>
      <c r="V16" s="51" t="str">
        <f t="shared" si="0"/>
        <v>Not Delivered</v>
      </c>
      <c r="W16" s="40" t="str">
        <f t="shared" si="1"/>
        <v>Cancelled Order</v>
      </c>
      <c r="X16" s="40"/>
      <c r="Y16" s="40"/>
      <c r="Z16" s="40"/>
      <c r="AA16" s="40"/>
      <c r="AB16" s="40"/>
      <c r="AC16" s="40"/>
      <c r="AD16" s="40"/>
    </row>
    <row r="17" spans="1:30">
      <c r="A17" s="43" t="s">
        <v>135</v>
      </c>
      <c r="B17" s="44">
        <v>44970</v>
      </c>
      <c r="C17" s="45" t="s">
        <v>45</v>
      </c>
      <c r="D17" s="44"/>
      <c r="E17" s="44"/>
      <c r="F17" s="43" t="s">
        <v>136</v>
      </c>
      <c r="G17" s="43" t="s">
        <v>137</v>
      </c>
      <c r="H17" s="43" t="s">
        <v>34</v>
      </c>
      <c r="I17" s="43" t="s">
        <v>115</v>
      </c>
      <c r="J17" s="43" t="s">
        <v>116</v>
      </c>
      <c r="K17" s="43" t="s">
        <v>133</v>
      </c>
      <c r="L17" s="43" t="s">
        <v>59</v>
      </c>
      <c r="M17" s="43" t="s">
        <v>134</v>
      </c>
      <c r="N17" s="43" t="s">
        <v>79</v>
      </c>
      <c r="O17" s="50">
        <v>25</v>
      </c>
      <c r="P17" s="50">
        <v>27</v>
      </c>
      <c r="Q17" s="43">
        <v>3</v>
      </c>
      <c r="R17" s="50">
        <v>81</v>
      </c>
      <c r="S17" s="43" t="s">
        <v>95</v>
      </c>
      <c r="T17" s="43" t="s">
        <v>61</v>
      </c>
      <c r="U17" s="43" t="s">
        <v>80</v>
      </c>
      <c r="V17" s="52" t="str">
        <f t="shared" si="0"/>
        <v>Not Delivered</v>
      </c>
      <c r="W17" s="43" t="str">
        <f t="shared" si="1"/>
        <v>Slow</v>
      </c>
      <c r="X17" s="43"/>
      <c r="Y17" s="43"/>
      <c r="Z17" s="43"/>
      <c r="AA17" s="43"/>
      <c r="AB17" s="43"/>
      <c r="AC17" s="43"/>
      <c r="AD17" s="43"/>
    </row>
    <row r="18" spans="1:30">
      <c r="A18" s="40" t="s">
        <v>138</v>
      </c>
      <c r="B18" s="41">
        <v>45105</v>
      </c>
      <c r="C18" s="42" t="s">
        <v>139</v>
      </c>
      <c r="D18" s="41">
        <v>45108</v>
      </c>
      <c r="E18" s="41"/>
      <c r="F18" s="40" t="s">
        <v>120</v>
      </c>
      <c r="G18" s="40" t="s">
        <v>114</v>
      </c>
      <c r="H18" s="40" t="s">
        <v>34</v>
      </c>
      <c r="I18" s="40" t="s">
        <v>35</v>
      </c>
      <c r="J18" s="40" t="s">
        <v>36</v>
      </c>
      <c r="K18" s="40" t="s">
        <v>140</v>
      </c>
      <c r="L18" s="40" t="s">
        <v>51</v>
      </c>
      <c r="M18" s="40" t="s">
        <v>141</v>
      </c>
      <c r="N18" s="40" t="s">
        <v>142</v>
      </c>
      <c r="O18" s="48">
        <v>20</v>
      </c>
      <c r="P18" s="48">
        <v>21</v>
      </c>
      <c r="Q18" s="40">
        <v>3</v>
      </c>
      <c r="R18" s="48">
        <v>63</v>
      </c>
      <c r="S18" s="40" t="s">
        <v>54</v>
      </c>
      <c r="T18" s="40" t="s">
        <v>55</v>
      </c>
      <c r="U18" s="40" t="s">
        <v>43</v>
      </c>
      <c r="V18" s="51">
        <f t="shared" si="0"/>
        <v>3</v>
      </c>
      <c r="W18" s="40" t="str">
        <f t="shared" si="1"/>
        <v>Slow</v>
      </c>
      <c r="X18" s="40"/>
      <c r="Y18" s="40"/>
      <c r="Z18" s="40"/>
      <c r="AA18" s="40"/>
      <c r="AB18" s="40"/>
      <c r="AC18" s="40"/>
      <c r="AD18" s="40"/>
    </row>
    <row r="19" spans="1:30">
      <c r="A19" s="43" t="s">
        <v>143</v>
      </c>
      <c r="B19" s="44">
        <v>45258</v>
      </c>
      <c r="C19" s="45" t="s">
        <v>82</v>
      </c>
      <c r="D19" s="44"/>
      <c r="E19" s="44"/>
      <c r="F19" s="43" t="s">
        <v>144</v>
      </c>
      <c r="G19" s="43" t="s">
        <v>145</v>
      </c>
      <c r="H19" s="43" t="s">
        <v>67</v>
      </c>
      <c r="I19" s="43" t="s">
        <v>48</v>
      </c>
      <c r="J19" s="43" t="s">
        <v>49</v>
      </c>
      <c r="K19" s="43" t="s">
        <v>146</v>
      </c>
      <c r="L19" s="43" t="s">
        <v>101</v>
      </c>
      <c r="M19" s="43" t="s">
        <v>147</v>
      </c>
      <c r="N19" s="43" t="s">
        <v>142</v>
      </c>
      <c r="O19" s="50">
        <v>65</v>
      </c>
      <c r="P19" s="50">
        <v>70</v>
      </c>
      <c r="Q19" s="43">
        <v>5</v>
      </c>
      <c r="R19" s="50">
        <v>350</v>
      </c>
      <c r="S19" s="43" t="s">
        <v>70</v>
      </c>
      <c r="T19" s="43" t="s">
        <v>61</v>
      </c>
      <c r="U19" s="43" t="s">
        <v>80</v>
      </c>
      <c r="V19" s="52" t="str">
        <f t="shared" si="0"/>
        <v>Not Delivered</v>
      </c>
      <c r="W19" s="43" t="str">
        <f t="shared" si="1"/>
        <v>Slow</v>
      </c>
      <c r="X19" s="43"/>
      <c r="Y19" s="43"/>
      <c r="Z19" s="43"/>
      <c r="AA19" s="43"/>
      <c r="AB19" s="43"/>
      <c r="AC19" s="43"/>
      <c r="AD19" s="43"/>
    </row>
    <row r="20" spans="1:30">
      <c r="A20" s="40" t="s">
        <v>148</v>
      </c>
      <c r="B20" s="41">
        <v>45163</v>
      </c>
      <c r="C20" s="42" t="s">
        <v>87</v>
      </c>
      <c r="D20" s="41"/>
      <c r="E20" s="41"/>
      <c r="F20" s="40" t="s">
        <v>149</v>
      </c>
      <c r="G20" s="40" t="s">
        <v>150</v>
      </c>
      <c r="H20" s="40" t="s">
        <v>67</v>
      </c>
      <c r="I20" s="40" t="s">
        <v>35</v>
      </c>
      <c r="J20" s="40" t="s">
        <v>36</v>
      </c>
      <c r="K20" s="40" t="s">
        <v>125</v>
      </c>
      <c r="L20" s="40" t="s">
        <v>59</v>
      </c>
      <c r="M20" s="40" t="s">
        <v>126</v>
      </c>
      <c r="N20" s="40" t="s">
        <v>79</v>
      </c>
      <c r="O20" s="48">
        <v>89</v>
      </c>
      <c r="P20" s="48">
        <v>94</v>
      </c>
      <c r="Q20" s="40">
        <v>4</v>
      </c>
      <c r="R20" s="48">
        <v>376</v>
      </c>
      <c r="S20" s="40" t="s">
        <v>54</v>
      </c>
      <c r="T20" s="40" t="s">
        <v>61</v>
      </c>
      <c r="U20" s="40" t="s">
        <v>62</v>
      </c>
      <c r="V20" s="51" t="str">
        <f t="shared" si="0"/>
        <v>Not Delivered</v>
      </c>
      <c r="W20" s="40" t="str">
        <f t="shared" si="1"/>
        <v>Slow</v>
      </c>
      <c r="X20" s="40"/>
      <c r="Y20" s="40"/>
      <c r="Z20" s="40"/>
      <c r="AA20" s="40"/>
      <c r="AB20" s="40"/>
      <c r="AC20" s="40"/>
      <c r="AD20" s="40"/>
    </row>
    <row r="21" spans="1:30">
      <c r="A21" s="43" t="s">
        <v>151</v>
      </c>
      <c r="B21" s="44">
        <v>45028</v>
      </c>
      <c r="C21" s="45" t="s">
        <v>97</v>
      </c>
      <c r="D21" s="44"/>
      <c r="E21" s="44"/>
      <c r="F21" s="43" t="s">
        <v>152</v>
      </c>
      <c r="G21" s="43" t="s">
        <v>153</v>
      </c>
      <c r="H21" s="43" t="s">
        <v>34</v>
      </c>
      <c r="I21" s="43" t="s">
        <v>48</v>
      </c>
      <c r="J21" s="43" t="s">
        <v>49</v>
      </c>
      <c r="K21" s="43" t="s">
        <v>154</v>
      </c>
      <c r="L21" s="43" t="s">
        <v>38</v>
      </c>
      <c r="M21" s="43" t="s">
        <v>155</v>
      </c>
      <c r="N21" s="43" t="s">
        <v>94</v>
      </c>
      <c r="O21" s="50">
        <v>749</v>
      </c>
      <c r="P21" s="50">
        <v>813</v>
      </c>
      <c r="Q21" s="43">
        <v>2</v>
      </c>
      <c r="R21" s="50">
        <v>1626</v>
      </c>
      <c r="S21" s="43" t="s">
        <v>54</v>
      </c>
      <c r="T21" s="43" t="s">
        <v>61</v>
      </c>
      <c r="U21" s="43" t="s">
        <v>121</v>
      </c>
      <c r="V21" s="52" t="str">
        <f t="shared" si="0"/>
        <v>Not Delivered</v>
      </c>
      <c r="W21" s="43" t="str">
        <f t="shared" si="1"/>
        <v>Slow</v>
      </c>
      <c r="X21" s="43"/>
      <c r="Y21" s="43"/>
      <c r="Z21" s="43"/>
      <c r="AA21" s="43"/>
      <c r="AB21" s="43"/>
      <c r="AC21" s="43"/>
      <c r="AD21" s="43"/>
    </row>
    <row r="22" spans="1:30">
      <c r="A22" s="40" t="s">
        <v>156</v>
      </c>
      <c r="B22" s="41">
        <v>45201</v>
      </c>
      <c r="C22" s="42" t="s">
        <v>57</v>
      </c>
      <c r="D22" s="41"/>
      <c r="E22" s="41"/>
      <c r="F22" s="40" t="s">
        <v>105</v>
      </c>
      <c r="G22" s="40" t="s">
        <v>106</v>
      </c>
      <c r="H22" s="40" t="s">
        <v>90</v>
      </c>
      <c r="I22" s="40" t="s">
        <v>75</v>
      </c>
      <c r="J22" s="40" t="s">
        <v>76</v>
      </c>
      <c r="K22" s="40" t="s">
        <v>140</v>
      </c>
      <c r="L22" s="40" t="s">
        <v>92</v>
      </c>
      <c r="M22" s="40" t="s">
        <v>141</v>
      </c>
      <c r="N22" s="40" t="s">
        <v>142</v>
      </c>
      <c r="O22" s="48">
        <v>20</v>
      </c>
      <c r="P22" s="48">
        <v>21</v>
      </c>
      <c r="Q22" s="40">
        <v>4</v>
      </c>
      <c r="R22" s="48">
        <v>84</v>
      </c>
      <c r="S22" s="40" t="s">
        <v>70</v>
      </c>
      <c r="T22" s="40" t="s">
        <v>61</v>
      </c>
      <c r="U22" s="40" t="s">
        <v>80</v>
      </c>
      <c r="V22" s="51" t="str">
        <f t="shared" si="0"/>
        <v>Not Delivered</v>
      </c>
      <c r="W22" s="40" t="str">
        <f t="shared" si="1"/>
        <v>Slow</v>
      </c>
      <c r="X22" s="40"/>
      <c r="Y22" s="40"/>
      <c r="Z22" s="40"/>
      <c r="AA22" s="40"/>
      <c r="AB22" s="40"/>
      <c r="AC22" s="40"/>
      <c r="AD22" s="40"/>
    </row>
    <row r="23" spans="1:30">
      <c r="A23" s="43" t="s">
        <v>157</v>
      </c>
      <c r="B23" s="44">
        <v>45239</v>
      </c>
      <c r="C23" s="45" t="s">
        <v>82</v>
      </c>
      <c r="D23" s="44"/>
      <c r="E23" s="44"/>
      <c r="F23" s="43" t="s">
        <v>123</v>
      </c>
      <c r="G23" s="43" t="s">
        <v>124</v>
      </c>
      <c r="H23" s="43" t="s">
        <v>34</v>
      </c>
      <c r="I23" s="43" t="s">
        <v>35</v>
      </c>
      <c r="J23" s="43" t="s">
        <v>36</v>
      </c>
      <c r="K23" s="43" t="s">
        <v>37</v>
      </c>
      <c r="L23" s="43" t="s">
        <v>101</v>
      </c>
      <c r="M23" s="43" t="s">
        <v>39</v>
      </c>
      <c r="N23" s="43" t="s">
        <v>40</v>
      </c>
      <c r="O23" s="50">
        <v>42</v>
      </c>
      <c r="P23" s="50">
        <v>46</v>
      </c>
      <c r="Q23" s="43">
        <v>5</v>
      </c>
      <c r="R23" s="50">
        <v>230</v>
      </c>
      <c r="S23" s="43" t="s">
        <v>70</v>
      </c>
      <c r="T23" s="43" t="s">
        <v>61</v>
      </c>
      <c r="U23" s="43" t="s">
        <v>62</v>
      </c>
      <c r="V23" s="52" t="str">
        <f t="shared" si="0"/>
        <v>Not Delivered</v>
      </c>
      <c r="W23" s="43" t="str">
        <f t="shared" si="1"/>
        <v>Slow</v>
      </c>
      <c r="X23" s="43"/>
      <c r="Y23" s="43"/>
      <c r="Z23" s="43"/>
      <c r="AA23" s="43"/>
      <c r="AB23" s="43"/>
      <c r="AC23" s="43"/>
      <c r="AD23" s="43"/>
    </row>
    <row r="24" spans="1:30">
      <c r="A24" s="40" t="s">
        <v>158</v>
      </c>
      <c r="B24" s="41">
        <v>44970</v>
      </c>
      <c r="C24" s="42" t="s">
        <v>45</v>
      </c>
      <c r="D24" s="41"/>
      <c r="E24" s="41">
        <v>44971</v>
      </c>
      <c r="F24" s="40" t="s">
        <v>159</v>
      </c>
      <c r="G24" s="40" t="s">
        <v>160</v>
      </c>
      <c r="H24" s="40" t="s">
        <v>90</v>
      </c>
      <c r="I24" s="40" t="s">
        <v>68</v>
      </c>
      <c r="J24" s="40" t="s">
        <v>69</v>
      </c>
      <c r="K24" s="40" t="s">
        <v>77</v>
      </c>
      <c r="L24" s="40" t="s">
        <v>101</v>
      </c>
      <c r="M24" s="40" t="s">
        <v>78</v>
      </c>
      <c r="N24" s="40" t="s">
        <v>79</v>
      </c>
      <c r="O24" s="48">
        <v>55</v>
      </c>
      <c r="P24" s="48">
        <v>58</v>
      </c>
      <c r="Q24" s="40">
        <v>3</v>
      </c>
      <c r="R24" s="48">
        <v>174</v>
      </c>
      <c r="S24" s="40" t="s">
        <v>85</v>
      </c>
      <c r="T24" s="40" t="s">
        <v>42</v>
      </c>
      <c r="U24" s="40" t="s">
        <v>80</v>
      </c>
      <c r="V24" s="51" t="str">
        <f t="shared" si="0"/>
        <v>Not Delivered</v>
      </c>
      <c r="W24" s="40" t="str">
        <f t="shared" si="1"/>
        <v>Cancelled Order</v>
      </c>
      <c r="X24" s="40"/>
      <c r="Y24" s="40"/>
      <c r="Z24" s="40"/>
      <c r="AA24" s="40"/>
      <c r="AB24" s="40"/>
      <c r="AC24" s="40"/>
      <c r="AD24" s="40"/>
    </row>
    <row r="25" spans="1:30">
      <c r="A25" s="43" t="s">
        <v>161</v>
      </c>
      <c r="B25" s="44">
        <v>45232</v>
      </c>
      <c r="C25" s="45" t="s">
        <v>82</v>
      </c>
      <c r="D25" s="44">
        <v>45235</v>
      </c>
      <c r="E25" s="44"/>
      <c r="F25" s="43" t="s">
        <v>162</v>
      </c>
      <c r="G25" s="43" t="s">
        <v>163</v>
      </c>
      <c r="H25" s="43" t="s">
        <v>67</v>
      </c>
      <c r="I25" s="43" t="s">
        <v>35</v>
      </c>
      <c r="J25" s="43" t="s">
        <v>36</v>
      </c>
      <c r="K25" s="43" t="s">
        <v>125</v>
      </c>
      <c r="L25" s="43" t="s">
        <v>101</v>
      </c>
      <c r="M25" s="43" t="s">
        <v>126</v>
      </c>
      <c r="N25" s="43" t="s">
        <v>79</v>
      </c>
      <c r="O25" s="50">
        <v>89</v>
      </c>
      <c r="P25" s="50">
        <v>96</v>
      </c>
      <c r="Q25" s="43">
        <v>5</v>
      </c>
      <c r="R25" s="50">
        <v>480</v>
      </c>
      <c r="S25" s="43" t="s">
        <v>85</v>
      </c>
      <c r="T25" s="43" t="s">
        <v>55</v>
      </c>
      <c r="U25" s="43" t="s">
        <v>80</v>
      </c>
      <c r="V25" s="52">
        <f t="shared" si="0"/>
        <v>3</v>
      </c>
      <c r="W25" s="43" t="str">
        <f t="shared" si="1"/>
        <v>Slow</v>
      </c>
      <c r="X25" s="43"/>
      <c r="Y25" s="43"/>
      <c r="Z25" s="43"/>
      <c r="AA25" s="43"/>
      <c r="AB25" s="43"/>
      <c r="AC25" s="43"/>
      <c r="AD25" s="43"/>
    </row>
    <row r="26" spans="1:30">
      <c r="A26" s="40" t="s">
        <v>164</v>
      </c>
      <c r="B26" s="41">
        <v>45074</v>
      </c>
      <c r="C26" s="42" t="s">
        <v>64</v>
      </c>
      <c r="D26" s="41">
        <v>45076</v>
      </c>
      <c r="E26" s="41"/>
      <c r="F26" s="40" t="s">
        <v>165</v>
      </c>
      <c r="G26" s="40" t="s">
        <v>166</v>
      </c>
      <c r="H26" s="40" t="s">
        <v>90</v>
      </c>
      <c r="I26" s="40" t="s">
        <v>35</v>
      </c>
      <c r="J26" s="40" t="s">
        <v>36</v>
      </c>
      <c r="K26" s="40" t="s">
        <v>167</v>
      </c>
      <c r="L26" s="40" t="s">
        <v>59</v>
      </c>
      <c r="M26" s="40" t="s">
        <v>168</v>
      </c>
      <c r="N26" s="40" t="s">
        <v>53</v>
      </c>
      <c r="O26" s="48">
        <v>39</v>
      </c>
      <c r="P26" s="48">
        <v>43</v>
      </c>
      <c r="Q26" s="40">
        <v>1</v>
      </c>
      <c r="R26" s="48">
        <v>43</v>
      </c>
      <c r="S26" s="40" t="s">
        <v>95</v>
      </c>
      <c r="T26" s="40" t="s">
        <v>55</v>
      </c>
      <c r="U26" s="40" t="s">
        <v>80</v>
      </c>
      <c r="V26" s="51">
        <f t="shared" si="0"/>
        <v>2</v>
      </c>
      <c r="W26" s="40" t="str">
        <f t="shared" si="1"/>
        <v>Fast</v>
      </c>
      <c r="X26" s="40"/>
      <c r="Y26" s="40"/>
      <c r="Z26" s="40"/>
      <c r="AA26" s="40"/>
      <c r="AB26" s="40"/>
      <c r="AC26" s="40"/>
      <c r="AD26" s="40"/>
    </row>
    <row r="27" spans="1:30">
      <c r="A27" s="43" t="s">
        <v>169</v>
      </c>
      <c r="B27" s="44">
        <v>45214</v>
      </c>
      <c r="C27" s="45" t="s">
        <v>57</v>
      </c>
      <c r="D27" s="44">
        <v>45220</v>
      </c>
      <c r="E27" s="44"/>
      <c r="F27" s="43" t="s">
        <v>73</v>
      </c>
      <c r="G27" s="43" t="s">
        <v>74</v>
      </c>
      <c r="H27" s="43" t="s">
        <v>34</v>
      </c>
      <c r="I27" s="43" t="s">
        <v>75</v>
      </c>
      <c r="J27" s="43" t="s">
        <v>76</v>
      </c>
      <c r="K27" s="43" t="s">
        <v>170</v>
      </c>
      <c r="L27" s="43" t="s">
        <v>59</v>
      </c>
      <c r="M27" s="43" t="s">
        <v>171</v>
      </c>
      <c r="N27" s="43" t="s">
        <v>79</v>
      </c>
      <c r="O27" s="50">
        <v>60</v>
      </c>
      <c r="P27" s="50">
        <v>64</v>
      </c>
      <c r="Q27" s="43">
        <v>4</v>
      </c>
      <c r="R27" s="50">
        <v>256</v>
      </c>
      <c r="S27" s="43" t="s">
        <v>95</v>
      </c>
      <c r="T27" s="43" t="s">
        <v>55</v>
      </c>
      <c r="U27" s="43" t="s">
        <v>62</v>
      </c>
      <c r="V27" s="52">
        <f t="shared" si="0"/>
        <v>6</v>
      </c>
      <c r="W27" s="43" t="str">
        <f t="shared" si="1"/>
        <v>Slow</v>
      </c>
      <c r="X27" s="43"/>
      <c r="Y27" s="43"/>
      <c r="Z27" s="43"/>
      <c r="AA27" s="43"/>
      <c r="AB27" s="43"/>
      <c r="AC27" s="43"/>
      <c r="AD27" s="43"/>
    </row>
    <row r="28" spans="1:30">
      <c r="A28" s="40" t="s">
        <v>172</v>
      </c>
      <c r="B28" s="41">
        <v>44942</v>
      </c>
      <c r="C28" s="42" t="s">
        <v>173</v>
      </c>
      <c r="D28" s="41"/>
      <c r="E28" s="41"/>
      <c r="F28" s="40" t="s">
        <v>174</v>
      </c>
      <c r="G28" s="40" t="s">
        <v>175</v>
      </c>
      <c r="H28" s="40" t="s">
        <v>34</v>
      </c>
      <c r="I28" s="40" t="s">
        <v>48</v>
      </c>
      <c r="J28" s="40" t="s">
        <v>49</v>
      </c>
      <c r="K28" s="40" t="s">
        <v>146</v>
      </c>
      <c r="L28" s="40" t="s">
        <v>59</v>
      </c>
      <c r="M28" s="40" t="s">
        <v>147</v>
      </c>
      <c r="N28" s="40" t="s">
        <v>142</v>
      </c>
      <c r="O28" s="48">
        <v>65</v>
      </c>
      <c r="P28" s="48">
        <v>70</v>
      </c>
      <c r="Q28" s="40">
        <v>2</v>
      </c>
      <c r="R28" s="48">
        <v>140</v>
      </c>
      <c r="S28" s="40" t="s">
        <v>85</v>
      </c>
      <c r="T28" s="40" t="s">
        <v>61</v>
      </c>
      <c r="U28" s="40" t="s">
        <v>80</v>
      </c>
      <c r="V28" s="51" t="str">
        <f t="shared" si="0"/>
        <v>Not Delivered</v>
      </c>
      <c r="W28" s="40" t="str">
        <f t="shared" si="1"/>
        <v>Slow</v>
      </c>
      <c r="X28" s="40"/>
      <c r="Y28" s="40"/>
      <c r="Z28" s="40"/>
      <c r="AA28" s="40"/>
      <c r="AB28" s="40"/>
      <c r="AC28" s="40"/>
      <c r="AD28" s="40"/>
    </row>
    <row r="29" spans="1:30">
      <c r="A29" s="43" t="s">
        <v>176</v>
      </c>
      <c r="B29" s="44">
        <v>45208</v>
      </c>
      <c r="C29" s="45" t="s">
        <v>57</v>
      </c>
      <c r="D29" s="44"/>
      <c r="E29" s="44"/>
      <c r="F29" s="43" t="s">
        <v>174</v>
      </c>
      <c r="G29" s="43" t="s">
        <v>175</v>
      </c>
      <c r="H29" s="43" t="s">
        <v>34</v>
      </c>
      <c r="I29" s="43" t="s">
        <v>48</v>
      </c>
      <c r="J29" s="43" t="s">
        <v>49</v>
      </c>
      <c r="K29" s="43" t="s">
        <v>50</v>
      </c>
      <c r="L29" s="43" t="s">
        <v>92</v>
      </c>
      <c r="M29" s="43" t="s">
        <v>52</v>
      </c>
      <c r="N29" s="43" t="s">
        <v>53</v>
      </c>
      <c r="O29" s="50">
        <v>89</v>
      </c>
      <c r="P29" s="50">
        <v>97</v>
      </c>
      <c r="Q29" s="43">
        <v>3</v>
      </c>
      <c r="R29" s="50">
        <v>291</v>
      </c>
      <c r="S29" s="43" t="s">
        <v>54</v>
      </c>
      <c r="T29" s="43" t="s">
        <v>61</v>
      </c>
      <c r="U29" s="43" t="s">
        <v>80</v>
      </c>
      <c r="V29" s="52" t="str">
        <f t="shared" si="0"/>
        <v>Not Delivered</v>
      </c>
      <c r="W29" s="43" t="str">
        <f t="shared" si="1"/>
        <v>Slow</v>
      </c>
      <c r="X29" s="43"/>
      <c r="Y29" s="43"/>
      <c r="Z29" s="43"/>
      <c r="AA29" s="43"/>
      <c r="AB29" s="43"/>
      <c r="AC29" s="43"/>
      <c r="AD29" s="43"/>
    </row>
    <row r="30" spans="1:30">
      <c r="A30" s="40" t="s">
        <v>177</v>
      </c>
      <c r="B30" s="41">
        <v>45206</v>
      </c>
      <c r="C30" s="42" t="s">
        <v>57</v>
      </c>
      <c r="D30" s="41"/>
      <c r="E30" s="41">
        <v>45209</v>
      </c>
      <c r="F30" s="40" t="s">
        <v>178</v>
      </c>
      <c r="G30" s="40" t="s">
        <v>179</v>
      </c>
      <c r="H30" s="40" t="s">
        <v>90</v>
      </c>
      <c r="I30" s="40" t="s">
        <v>180</v>
      </c>
      <c r="J30" s="40" t="s">
        <v>181</v>
      </c>
      <c r="K30" s="40" t="s">
        <v>100</v>
      </c>
      <c r="L30" s="40" t="s">
        <v>51</v>
      </c>
      <c r="M30" s="40" t="s">
        <v>102</v>
      </c>
      <c r="N30" s="40" t="s">
        <v>40</v>
      </c>
      <c r="O30" s="48">
        <v>34</v>
      </c>
      <c r="P30" s="48">
        <v>37</v>
      </c>
      <c r="Q30" s="40">
        <v>3</v>
      </c>
      <c r="R30" s="48">
        <v>111</v>
      </c>
      <c r="S30" s="40" t="s">
        <v>41</v>
      </c>
      <c r="T30" s="40" t="s">
        <v>42</v>
      </c>
      <c r="U30" s="40" t="s">
        <v>43</v>
      </c>
      <c r="V30" s="51" t="str">
        <f t="shared" si="0"/>
        <v>Not Delivered</v>
      </c>
      <c r="W30" s="40" t="str">
        <f t="shared" si="1"/>
        <v>Cancelled Order</v>
      </c>
      <c r="X30" s="40"/>
      <c r="Y30" s="40"/>
      <c r="Z30" s="40"/>
      <c r="AA30" s="40"/>
      <c r="AB30" s="40"/>
      <c r="AC30" s="40"/>
      <c r="AD30" s="40"/>
    </row>
    <row r="31" spans="1:30">
      <c r="A31" s="43" t="s">
        <v>182</v>
      </c>
      <c r="B31" s="44">
        <v>44971</v>
      </c>
      <c r="C31" s="45" t="s">
        <v>45</v>
      </c>
      <c r="D31" s="44"/>
      <c r="E31" s="44"/>
      <c r="F31" s="43" t="s">
        <v>183</v>
      </c>
      <c r="G31" s="43" t="s">
        <v>184</v>
      </c>
      <c r="H31" s="43" t="s">
        <v>67</v>
      </c>
      <c r="I31" s="43" t="s">
        <v>35</v>
      </c>
      <c r="J31" s="43" t="s">
        <v>185</v>
      </c>
      <c r="K31" s="43" t="s">
        <v>146</v>
      </c>
      <c r="L31" s="43" t="s">
        <v>38</v>
      </c>
      <c r="M31" s="43" t="s">
        <v>147</v>
      </c>
      <c r="N31" s="43" t="s">
        <v>142</v>
      </c>
      <c r="O31" s="50">
        <v>65</v>
      </c>
      <c r="P31" s="50">
        <v>69</v>
      </c>
      <c r="Q31" s="43">
        <v>5</v>
      </c>
      <c r="R31" s="50">
        <v>345</v>
      </c>
      <c r="S31" s="43" t="s">
        <v>85</v>
      </c>
      <c r="T31" s="43" t="s">
        <v>61</v>
      </c>
      <c r="U31" s="43" t="s">
        <v>80</v>
      </c>
      <c r="V31" s="52" t="str">
        <f t="shared" si="0"/>
        <v>Not Delivered</v>
      </c>
      <c r="W31" s="43" t="str">
        <f t="shared" si="1"/>
        <v>Slow</v>
      </c>
      <c r="X31" s="43"/>
      <c r="Y31" s="43"/>
      <c r="Z31" s="43"/>
      <c r="AA31" s="43"/>
      <c r="AB31" s="43"/>
      <c r="AC31" s="43"/>
      <c r="AD31" s="43"/>
    </row>
    <row r="32" spans="1:30">
      <c r="A32" s="40" t="s">
        <v>186</v>
      </c>
      <c r="B32" s="41">
        <v>45011</v>
      </c>
      <c r="C32" s="42" t="s">
        <v>187</v>
      </c>
      <c r="D32" s="41"/>
      <c r="E32" s="41"/>
      <c r="F32" s="40" t="s">
        <v>188</v>
      </c>
      <c r="G32" s="40" t="s">
        <v>184</v>
      </c>
      <c r="H32" s="40" t="s">
        <v>34</v>
      </c>
      <c r="I32" s="40" t="s">
        <v>115</v>
      </c>
      <c r="J32" s="40" t="s">
        <v>116</v>
      </c>
      <c r="K32" s="40" t="s">
        <v>167</v>
      </c>
      <c r="L32" s="40" t="s">
        <v>38</v>
      </c>
      <c r="M32" s="40" t="s">
        <v>168</v>
      </c>
      <c r="N32" s="40" t="s">
        <v>53</v>
      </c>
      <c r="O32" s="48">
        <v>39</v>
      </c>
      <c r="P32" s="48">
        <v>42</v>
      </c>
      <c r="Q32" s="40">
        <v>5</v>
      </c>
      <c r="R32" s="48">
        <v>210</v>
      </c>
      <c r="S32" s="40" t="s">
        <v>85</v>
      </c>
      <c r="T32" s="40" t="s">
        <v>61</v>
      </c>
      <c r="U32" s="40" t="s">
        <v>71</v>
      </c>
      <c r="V32" s="51" t="str">
        <f t="shared" si="0"/>
        <v>Not Delivered</v>
      </c>
      <c r="W32" s="40" t="str">
        <f t="shared" si="1"/>
        <v>Slow</v>
      </c>
      <c r="X32" s="40"/>
      <c r="Y32" s="40"/>
      <c r="Z32" s="40"/>
      <c r="AA32" s="40"/>
      <c r="AB32" s="40"/>
      <c r="AC32" s="40"/>
      <c r="AD32" s="40"/>
    </row>
    <row r="33" spans="1:30">
      <c r="A33" s="43" t="s">
        <v>189</v>
      </c>
      <c r="B33" s="44">
        <v>45092</v>
      </c>
      <c r="C33" s="45" t="s">
        <v>139</v>
      </c>
      <c r="D33" s="44"/>
      <c r="E33" s="44">
        <v>45099</v>
      </c>
      <c r="F33" s="43" t="s">
        <v>190</v>
      </c>
      <c r="G33" s="43" t="s">
        <v>114</v>
      </c>
      <c r="H33" s="43" t="s">
        <v>34</v>
      </c>
      <c r="I33" s="43" t="s">
        <v>48</v>
      </c>
      <c r="J33" s="43" t="s">
        <v>49</v>
      </c>
      <c r="K33" s="43" t="s">
        <v>191</v>
      </c>
      <c r="L33" s="43" t="s">
        <v>51</v>
      </c>
      <c r="M33" s="43" t="s">
        <v>192</v>
      </c>
      <c r="N33" s="43" t="s">
        <v>142</v>
      </c>
      <c r="O33" s="50">
        <v>10</v>
      </c>
      <c r="P33" s="50">
        <v>11</v>
      </c>
      <c r="Q33" s="43">
        <v>5</v>
      </c>
      <c r="R33" s="50">
        <v>55</v>
      </c>
      <c r="S33" s="43" t="s">
        <v>95</v>
      </c>
      <c r="T33" s="43" t="s">
        <v>42</v>
      </c>
      <c r="U33" s="43" t="s">
        <v>121</v>
      </c>
      <c r="V33" s="52" t="str">
        <f t="shared" si="0"/>
        <v>Not Delivered</v>
      </c>
      <c r="W33" s="43" t="str">
        <f t="shared" si="1"/>
        <v>Cancelled Order</v>
      </c>
      <c r="X33" s="43"/>
      <c r="Y33" s="43"/>
      <c r="Z33" s="43"/>
      <c r="AA33" s="43"/>
      <c r="AB33" s="43"/>
      <c r="AC33" s="43"/>
      <c r="AD33" s="43"/>
    </row>
    <row r="34" spans="1:30">
      <c r="A34" s="40" t="s">
        <v>193</v>
      </c>
      <c r="B34" s="41">
        <v>45068</v>
      </c>
      <c r="C34" s="42" t="s">
        <v>64</v>
      </c>
      <c r="D34" s="41">
        <v>45069</v>
      </c>
      <c r="E34" s="41"/>
      <c r="F34" s="40" t="s">
        <v>159</v>
      </c>
      <c r="G34" s="40" t="s">
        <v>160</v>
      </c>
      <c r="H34" s="40" t="s">
        <v>90</v>
      </c>
      <c r="I34" s="40" t="s">
        <v>68</v>
      </c>
      <c r="J34" s="40" t="s">
        <v>69</v>
      </c>
      <c r="K34" s="40" t="s">
        <v>133</v>
      </c>
      <c r="L34" s="40" t="s">
        <v>59</v>
      </c>
      <c r="M34" s="40" t="s">
        <v>134</v>
      </c>
      <c r="N34" s="40" t="s">
        <v>79</v>
      </c>
      <c r="O34" s="48">
        <v>25</v>
      </c>
      <c r="P34" s="48">
        <v>27</v>
      </c>
      <c r="Q34" s="40">
        <v>2</v>
      </c>
      <c r="R34" s="48">
        <v>54</v>
      </c>
      <c r="S34" s="40" t="s">
        <v>41</v>
      </c>
      <c r="T34" s="40" t="s">
        <v>55</v>
      </c>
      <c r="U34" s="40" t="s">
        <v>62</v>
      </c>
      <c r="V34" s="51">
        <f t="shared" si="0"/>
        <v>1</v>
      </c>
      <c r="W34" s="40" t="str">
        <f t="shared" si="1"/>
        <v>Fast</v>
      </c>
      <c r="X34" s="40"/>
      <c r="Y34" s="40"/>
      <c r="Z34" s="40"/>
      <c r="AA34" s="40"/>
      <c r="AB34" s="40"/>
      <c r="AC34" s="40"/>
      <c r="AD34" s="40"/>
    </row>
    <row r="35" spans="1:30">
      <c r="A35" s="43" t="s">
        <v>194</v>
      </c>
      <c r="B35" s="44">
        <v>45250</v>
      </c>
      <c r="C35" s="45" t="s">
        <v>82</v>
      </c>
      <c r="D35" s="44"/>
      <c r="E35" s="44"/>
      <c r="F35" s="43" t="s">
        <v>152</v>
      </c>
      <c r="G35" s="43" t="s">
        <v>153</v>
      </c>
      <c r="H35" s="43" t="s">
        <v>34</v>
      </c>
      <c r="I35" s="43" t="s">
        <v>48</v>
      </c>
      <c r="J35" s="43" t="s">
        <v>49</v>
      </c>
      <c r="K35" s="43" t="s">
        <v>140</v>
      </c>
      <c r="L35" s="43" t="s">
        <v>59</v>
      </c>
      <c r="M35" s="43" t="s">
        <v>141</v>
      </c>
      <c r="N35" s="43" t="s">
        <v>142</v>
      </c>
      <c r="O35" s="50">
        <v>20</v>
      </c>
      <c r="P35" s="50">
        <v>21</v>
      </c>
      <c r="Q35" s="43">
        <v>1</v>
      </c>
      <c r="R35" s="50">
        <v>21</v>
      </c>
      <c r="S35" s="43" t="s">
        <v>85</v>
      </c>
      <c r="T35" s="43" t="s">
        <v>61</v>
      </c>
      <c r="U35" s="43" t="s">
        <v>43</v>
      </c>
      <c r="V35" s="52" t="str">
        <f t="shared" ref="V35:V66" si="2">IF(DATEDIF($B35,$D35,"D")&gt;0,DATEDIF($B35,$D35,"D"),"Not Delivered")</f>
        <v>Not Delivered</v>
      </c>
      <c r="W35" s="43" t="str">
        <f t="shared" ref="W35:W66" si="3">IF(AND(DATEDIF($B35,$D35,"D")&gt;0,DATEDIF($B35,$D35,"D")&lt;=2),"Fast",IF(AND(DATEDIF($B35,$D35,"D")&gt;0,DATEDIF($B35,$D35,"D")&gt;2,$T35="Delivered"),"Slow",IF(T35="In Transit","Slow","Cancelled Order")))</f>
        <v>Slow</v>
      </c>
      <c r="X35" s="43"/>
      <c r="Y35" s="43"/>
      <c r="Z35" s="43"/>
      <c r="AA35" s="43"/>
      <c r="AB35" s="43"/>
      <c r="AC35" s="43"/>
      <c r="AD35" s="43"/>
    </row>
    <row r="36" spans="1:30">
      <c r="A36" s="40" t="s">
        <v>195</v>
      </c>
      <c r="B36" s="41">
        <v>45282</v>
      </c>
      <c r="C36" s="42" t="s">
        <v>31</v>
      </c>
      <c r="D36" s="41">
        <v>45286</v>
      </c>
      <c r="E36" s="41"/>
      <c r="F36" s="40" t="s">
        <v>196</v>
      </c>
      <c r="G36" s="40" t="s">
        <v>197</v>
      </c>
      <c r="H36" s="40" t="s">
        <v>67</v>
      </c>
      <c r="I36" s="40" t="s">
        <v>35</v>
      </c>
      <c r="J36" s="40" t="s">
        <v>36</v>
      </c>
      <c r="K36" s="40" t="s">
        <v>198</v>
      </c>
      <c r="L36" s="40" t="s">
        <v>59</v>
      </c>
      <c r="M36" s="40" t="s">
        <v>199</v>
      </c>
      <c r="N36" s="40" t="s">
        <v>94</v>
      </c>
      <c r="O36" s="48">
        <v>159</v>
      </c>
      <c r="P36" s="48">
        <v>172</v>
      </c>
      <c r="Q36" s="40">
        <v>1</v>
      </c>
      <c r="R36" s="48">
        <v>172</v>
      </c>
      <c r="S36" s="40" t="s">
        <v>70</v>
      </c>
      <c r="T36" s="40" t="s">
        <v>55</v>
      </c>
      <c r="U36" s="40" t="s">
        <v>62</v>
      </c>
      <c r="V36" s="51">
        <f t="shared" si="2"/>
        <v>4</v>
      </c>
      <c r="W36" s="40" t="str">
        <f t="shared" si="3"/>
        <v>Slow</v>
      </c>
      <c r="X36" s="40"/>
      <c r="Y36" s="40"/>
      <c r="Z36" s="40"/>
      <c r="AA36" s="40"/>
      <c r="AB36" s="40"/>
      <c r="AC36" s="40"/>
      <c r="AD36" s="40"/>
    </row>
    <row r="37" spans="1:30">
      <c r="A37" s="43" t="s">
        <v>200</v>
      </c>
      <c r="B37" s="44">
        <v>45130</v>
      </c>
      <c r="C37" s="45" t="s">
        <v>104</v>
      </c>
      <c r="D37" s="44"/>
      <c r="E37" s="44"/>
      <c r="F37" s="43" t="s">
        <v>188</v>
      </c>
      <c r="G37" s="43" t="s">
        <v>184</v>
      </c>
      <c r="H37" s="43" t="s">
        <v>34</v>
      </c>
      <c r="I37" s="43" t="s">
        <v>115</v>
      </c>
      <c r="J37" s="43" t="s">
        <v>116</v>
      </c>
      <c r="K37" s="43" t="s">
        <v>201</v>
      </c>
      <c r="L37" s="43" t="s">
        <v>38</v>
      </c>
      <c r="M37" s="43" t="s">
        <v>202</v>
      </c>
      <c r="N37" s="43" t="s">
        <v>40</v>
      </c>
      <c r="O37" s="50">
        <v>199</v>
      </c>
      <c r="P37" s="50">
        <v>212</v>
      </c>
      <c r="Q37" s="43">
        <v>3</v>
      </c>
      <c r="R37" s="50">
        <v>636</v>
      </c>
      <c r="S37" s="43" t="s">
        <v>85</v>
      </c>
      <c r="T37" s="43" t="s">
        <v>61</v>
      </c>
      <c r="U37" s="43" t="s">
        <v>71</v>
      </c>
      <c r="V37" s="52" t="str">
        <f t="shared" si="2"/>
        <v>Not Delivered</v>
      </c>
      <c r="W37" s="43" t="str">
        <f t="shared" si="3"/>
        <v>Slow</v>
      </c>
      <c r="X37" s="43"/>
      <c r="Y37" s="43"/>
      <c r="Z37" s="43"/>
      <c r="AA37" s="43"/>
      <c r="AB37" s="43"/>
      <c r="AC37" s="43"/>
      <c r="AD37" s="43"/>
    </row>
    <row r="38" spans="1:30">
      <c r="A38" s="40" t="s">
        <v>203</v>
      </c>
      <c r="B38" s="41">
        <v>45216</v>
      </c>
      <c r="C38" s="42" t="s">
        <v>57</v>
      </c>
      <c r="D38" s="41">
        <v>45221</v>
      </c>
      <c r="E38" s="41"/>
      <c r="F38" s="40" t="s">
        <v>65</v>
      </c>
      <c r="G38" s="40" t="s">
        <v>66</v>
      </c>
      <c r="H38" s="40" t="s">
        <v>67</v>
      </c>
      <c r="I38" s="40" t="s">
        <v>68</v>
      </c>
      <c r="J38" s="40" t="s">
        <v>69</v>
      </c>
      <c r="K38" s="40" t="s">
        <v>167</v>
      </c>
      <c r="L38" s="40" t="s">
        <v>51</v>
      </c>
      <c r="M38" s="40" t="s">
        <v>168</v>
      </c>
      <c r="N38" s="40" t="s">
        <v>53</v>
      </c>
      <c r="O38" s="48">
        <v>39</v>
      </c>
      <c r="P38" s="48">
        <v>41</v>
      </c>
      <c r="Q38" s="40">
        <v>4</v>
      </c>
      <c r="R38" s="48">
        <v>164</v>
      </c>
      <c r="S38" s="40" t="s">
        <v>54</v>
      </c>
      <c r="T38" s="40" t="s">
        <v>55</v>
      </c>
      <c r="U38" s="40" t="s">
        <v>80</v>
      </c>
      <c r="V38" s="51">
        <f t="shared" si="2"/>
        <v>5</v>
      </c>
      <c r="W38" s="40" t="str">
        <f t="shared" si="3"/>
        <v>Slow</v>
      </c>
      <c r="X38" s="40"/>
      <c r="Y38" s="40"/>
      <c r="Z38" s="40"/>
      <c r="AA38" s="40"/>
      <c r="AB38" s="40"/>
      <c r="AC38" s="40"/>
      <c r="AD38" s="40"/>
    </row>
    <row r="39" spans="1:30">
      <c r="A39" s="43" t="s">
        <v>204</v>
      </c>
      <c r="B39" s="44">
        <v>45160</v>
      </c>
      <c r="C39" s="45" t="s">
        <v>87</v>
      </c>
      <c r="D39" s="44"/>
      <c r="E39" s="44">
        <v>45162</v>
      </c>
      <c r="F39" s="43" t="s">
        <v>162</v>
      </c>
      <c r="G39" s="43" t="s">
        <v>163</v>
      </c>
      <c r="H39" s="43" t="s">
        <v>67</v>
      </c>
      <c r="I39" s="43" t="s">
        <v>35</v>
      </c>
      <c r="J39" s="43" t="s">
        <v>36</v>
      </c>
      <c r="K39" s="43" t="s">
        <v>205</v>
      </c>
      <c r="L39" s="43" t="s">
        <v>38</v>
      </c>
      <c r="M39" s="43" t="s">
        <v>206</v>
      </c>
      <c r="N39" s="43" t="s">
        <v>53</v>
      </c>
      <c r="O39" s="50">
        <v>29</v>
      </c>
      <c r="P39" s="50">
        <v>32</v>
      </c>
      <c r="Q39" s="43">
        <v>2</v>
      </c>
      <c r="R39" s="50">
        <v>64</v>
      </c>
      <c r="S39" s="43" t="s">
        <v>95</v>
      </c>
      <c r="T39" s="43" t="s">
        <v>42</v>
      </c>
      <c r="U39" s="43" t="s">
        <v>121</v>
      </c>
      <c r="V39" s="52" t="str">
        <f t="shared" si="2"/>
        <v>Not Delivered</v>
      </c>
      <c r="W39" s="43" t="str">
        <f t="shared" si="3"/>
        <v>Cancelled Order</v>
      </c>
      <c r="X39" s="43"/>
      <c r="Y39" s="43"/>
      <c r="Z39" s="43"/>
      <c r="AA39" s="43"/>
      <c r="AB39" s="43"/>
      <c r="AC39" s="43"/>
      <c r="AD39" s="43"/>
    </row>
    <row r="40" spans="1:30">
      <c r="A40" s="40" t="s">
        <v>207</v>
      </c>
      <c r="B40" s="41">
        <v>45262</v>
      </c>
      <c r="C40" s="42" t="s">
        <v>31</v>
      </c>
      <c r="D40" s="41"/>
      <c r="E40" s="41"/>
      <c r="F40" s="40" t="s">
        <v>208</v>
      </c>
      <c r="G40" s="40" t="s">
        <v>137</v>
      </c>
      <c r="H40" s="40" t="s">
        <v>67</v>
      </c>
      <c r="I40" s="40" t="s">
        <v>48</v>
      </c>
      <c r="J40" s="40" t="s">
        <v>49</v>
      </c>
      <c r="K40" s="40" t="s">
        <v>170</v>
      </c>
      <c r="L40" s="40" t="s">
        <v>51</v>
      </c>
      <c r="M40" s="40" t="s">
        <v>171</v>
      </c>
      <c r="N40" s="40" t="s">
        <v>79</v>
      </c>
      <c r="O40" s="48">
        <v>60</v>
      </c>
      <c r="P40" s="48">
        <v>66</v>
      </c>
      <c r="Q40" s="40">
        <v>2</v>
      </c>
      <c r="R40" s="48">
        <v>132</v>
      </c>
      <c r="S40" s="40" t="s">
        <v>41</v>
      </c>
      <c r="T40" s="40" t="s">
        <v>61</v>
      </c>
      <c r="U40" s="40" t="s">
        <v>43</v>
      </c>
      <c r="V40" s="51" t="str">
        <f t="shared" si="2"/>
        <v>Not Delivered</v>
      </c>
      <c r="W40" s="40" t="str">
        <f t="shared" si="3"/>
        <v>Slow</v>
      </c>
      <c r="X40" s="40"/>
      <c r="Y40" s="40"/>
      <c r="Z40" s="40"/>
      <c r="AA40" s="40"/>
      <c r="AB40" s="40"/>
      <c r="AC40" s="40"/>
      <c r="AD40" s="40"/>
    </row>
    <row r="41" spans="1:30">
      <c r="A41" s="43" t="s">
        <v>209</v>
      </c>
      <c r="B41" s="44">
        <v>45285</v>
      </c>
      <c r="C41" s="45" t="s">
        <v>31</v>
      </c>
      <c r="D41" s="44"/>
      <c r="E41" s="44"/>
      <c r="F41" s="43" t="s">
        <v>210</v>
      </c>
      <c r="G41" s="43" t="s">
        <v>99</v>
      </c>
      <c r="H41" s="43" t="s">
        <v>90</v>
      </c>
      <c r="I41" s="43" t="s">
        <v>115</v>
      </c>
      <c r="J41" s="43" t="s">
        <v>116</v>
      </c>
      <c r="K41" s="43" t="s">
        <v>211</v>
      </c>
      <c r="L41" s="43" t="s">
        <v>51</v>
      </c>
      <c r="M41" s="43" t="s">
        <v>212</v>
      </c>
      <c r="N41" s="43" t="s">
        <v>53</v>
      </c>
      <c r="O41" s="50">
        <v>59</v>
      </c>
      <c r="P41" s="50">
        <v>62</v>
      </c>
      <c r="Q41" s="43">
        <v>4</v>
      </c>
      <c r="R41" s="50">
        <v>248</v>
      </c>
      <c r="S41" s="43" t="s">
        <v>95</v>
      </c>
      <c r="T41" s="43" t="s">
        <v>61</v>
      </c>
      <c r="U41" s="43" t="s">
        <v>71</v>
      </c>
      <c r="V41" s="52" t="str">
        <f t="shared" si="2"/>
        <v>Not Delivered</v>
      </c>
      <c r="W41" s="43" t="str">
        <f t="shared" si="3"/>
        <v>Slow</v>
      </c>
      <c r="X41" s="43"/>
      <c r="Y41" s="43"/>
      <c r="Z41" s="43"/>
      <c r="AA41" s="43"/>
      <c r="AB41" s="43"/>
      <c r="AC41" s="43"/>
      <c r="AD41" s="43"/>
    </row>
    <row r="42" spans="1:30">
      <c r="A42" s="40" t="s">
        <v>213</v>
      </c>
      <c r="B42" s="41">
        <v>45192</v>
      </c>
      <c r="C42" s="42" t="s">
        <v>214</v>
      </c>
      <c r="D42" s="41">
        <v>45199</v>
      </c>
      <c r="E42" s="41"/>
      <c r="F42" s="40" t="s">
        <v>215</v>
      </c>
      <c r="G42" s="40" t="s">
        <v>216</v>
      </c>
      <c r="H42" s="40" t="s">
        <v>67</v>
      </c>
      <c r="I42" s="40" t="s">
        <v>217</v>
      </c>
      <c r="J42" s="40" t="s">
        <v>217</v>
      </c>
      <c r="K42" s="40" t="s">
        <v>198</v>
      </c>
      <c r="L42" s="40" t="s">
        <v>101</v>
      </c>
      <c r="M42" s="40" t="s">
        <v>199</v>
      </c>
      <c r="N42" s="40" t="s">
        <v>94</v>
      </c>
      <c r="O42" s="48">
        <v>159</v>
      </c>
      <c r="P42" s="48">
        <v>173</v>
      </c>
      <c r="Q42" s="40">
        <v>4</v>
      </c>
      <c r="R42" s="48">
        <v>692</v>
      </c>
      <c r="S42" s="40" t="s">
        <v>41</v>
      </c>
      <c r="T42" s="40" t="s">
        <v>55</v>
      </c>
      <c r="U42" s="40" t="s">
        <v>71</v>
      </c>
      <c r="V42" s="51">
        <f t="shared" si="2"/>
        <v>7</v>
      </c>
      <c r="W42" s="40" t="str">
        <f t="shared" si="3"/>
        <v>Slow</v>
      </c>
      <c r="X42" s="40"/>
      <c r="Y42" s="40"/>
      <c r="Z42" s="40"/>
      <c r="AA42" s="40"/>
      <c r="AB42" s="40"/>
      <c r="AC42" s="40"/>
      <c r="AD42" s="40"/>
    </row>
    <row r="43" spans="1:30">
      <c r="A43" s="43" t="s">
        <v>218</v>
      </c>
      <c r="B43" s="44">
        <v>45123</v>
      </c>
      <c r="C43" s="45" t="s">
        <v>104</v>
      </c>
      <c r="D43" s="44">
        <v>45125</v>
      </c>
      <c r="E43" s="44"/>
      <c r="F43" s="43" t="s">
        <v>178</v>
      </c>
      <c r="G43" s="43" t="s">
        <v>179</v>
      </c>
      <c r="H43" s="43" t="s">
        <v>90</v>
      </c>
      <c r="I43" s="43" t="s">
        <v>180</v>
      </c>
      <c r="J43" s="43" t="s">
        <v>181</v>
      </c>
      <c r="K43" s="43" t="s">
        <v>211</v>
      </c>
      <c r="L43" s="43" t="s">
        <v>101</v>
      </c>
      <c r="M43" s="43" t="s">
        <v>212</v>
      </c>
      <c r="N43" s="43" t="s">
        <v>53</v>
      </c>
      <c r="O43" s="50">
        <v>59</v>
      </c>
      <c r="P43" s="50">
        <v>63</v>
      </c>
      <c r="Q43" s="43">
        <v>3</v>
      </c>
      <c r="R43" s="50">
        <v>189</v>
      </c>
      <c r="S43" s="43" t="s">
        <v>41</v>
      </c>
      <c r="T43" s="43" t="s">
        <v>55</v>
      </c>
      <c r="U43" s="43" t="s">
        <v>71</v>
      </c>
      <c r="V43" s="52">
        <f t="shared" si="2"/>
        <v>2</v>
      </c>
      <c r="W43" s="43" t="str">
        <f t="shared" si="3"/>
        <v>Fast</v>
      </c>
      <c r="X43" s="43"/>
      <c r="Y43" s="43"/>
      <c r="Z43" s="43"/>
      <c r="AA43" s="43"/>
      <c r="AB43" s="43"/>
      <c r="AC43" s="43"/>
      <c r="AD43" s="43"/>
    </row>
    <row r="44" spans="1:30">
      <c r="A44" s="40" t="s">
        <v>219</v>
      </c>
      <c r="B44" s="41">
        <v>44962</v>
      </c>
      <c r="C44" s="42" t="s">
        <v>45</v>
      </c>
      <c r="D44" s="41"/>
      <c r="E44" s="41">
        <v>44968</v>
      </c>
      <c r="F44" s="40" t="s">
        <v>165</v>
      </c>
      <c r="G44" s="40" t="s">
        <v>166</v>
      </c>
      <c r="H44" s="40" t="s">
        <v>90</v>
      </c>
      <c r="I44" s="40" t="s">
        <v>35</v>
      </c>
      <c r="J44" s="40" t="s">
        <v>36</v>
      </c>
      <c r="K44" s="40" t="s">
        <v>100</v>
      </c>
      <c r="L44" s="40" t="s">
        <v>101</v>
      </c>
      <c r="M44" s="40" t="s">
        <v>102</v>
      </c>
      <c r="N44" s="40" t="s">
        <v>40</v>
      </c>
      <c r="O44" s="48">
        <v>34</v>
      </c>
      <c r="P44" s="48">
        <v>36</v>
      </c>
      <c r="Q44" s="40">
        <v>3</v>
      </c>
      <c r="R44" s="48">
        <v>108</v>
      </c>
      <c r="S44" s="40" t="s">
        <v>95</v>
      </c>
      <c r="T44" s="40" t="s">
        <v>42</v>
      </c>
      <c r="U44" s="40" t="s">
        <v>62</v>
      </c>
      <c r="V44" s="51" t="str">
        <f t="shared" si="2"/>
        <v>Not Delivered</v>
      </c>
      <c r="W44" s="40" t="str">
        <f t="shared" si="3"/>
        <v>Cancelled Order</v>
      </c>
      <c r="X44" s="40"/>
      <c r="Y44" s="40"/>
      <c r="Z44" s="40"/>
      <c r="AA44" s="40"/>
      <c r="AB44" s="40"/>
      <c r="AC44" s="40"/>
      <c r="AD44" s="40"/>
    </row>
    <row r="45" spans="1:30">
      <c r="A45" s="43" t="s">
        <v>220</v>
      </c>
      <c r="B45" s="44">
        <v>45278</v>
      </c>
      <c r="C45" s="45" t="s">
        <v>31</v>
      </c>
      <c r="D45" s="44"/>
      <c r="E45" s="44">
        <v>45283</v>
      </c>
      <c r="F45" s="43" t="s">
        <v>210</v>
      </c>
      <c r="G45" s="43" t="s">
        <v>99</v>
      </c>
      <c r="H45" s="43" t="s">
        <v>90</v>
      </c>
      <c r="I45" s="43" t="s">
        <v>115</v>
      </c>
      <c r="J45" s="43" t="s">
        <v>116</v>
      </c>
      <c r="K45" s="43" t="s">
        <v>211</v>
      </c>
      <c r="L45" s="43" t="s">
        <v>92</v>
      </c>
      <c r="M45" s="43" t="s">
        <v>212</v>
      </c>
      <c r="N45" s="43" t="s">
        <v>53</v>
      </c>
      <c r="O45" s="50">
        <v>59</v>
      </c>
      <c r="P45" s="50">
        <v>62</v>
      </c>
      <c r="Q45" s="43">
        <v>1</v>
      </c>
      <c r="R45" s="50">
        <v>62</v>
      </c>
      <c r="S45" s="43" t="s">
        <v>41</v>
      </c>
      <c r="T45" s="43" t="s">
        <v>42</v>
      </c>
      <c r="U45" s="43" t="s">
        <v>80</v>
      </c>
      <c r="V45" s="52" t="str">
        <f t="shared" si="2"/>
        <v>Not Delivered</v>
      </c>
      <c r="W45" s="43" t="str">
        <f t="shared" si="3"/>
        <v>Cancelled Order</v>
      </c>
      <c r="X45" s="43"/>
      <c r="Y45" s="43"/>
      <c r="Z45" s="43"/>
      <c r="AA45" s="43"/>
      <c r="AB45" s="43"/>
      <c r="AC45" s="43"/>
      <c r="AD45" s="43"/>
    </row>
    <row r="46" spans="1:30">
      <c r="A46" s="40" t="s">
        <v>221</v>
      </c>
      <c r="B46" s="41">
        <v>45088</v>
      </c>
      <c r="C46" s="42" t="s">
        <v>139</v>
      </c>
      <c r="D46" s="41"/>
      <c r="E46" s="41">
        <v>45091</v>
      </c>
      <c r="F46" s="40" t="s">
        <v>88</v>
      </c>
      <c r="G46" s="40" t="s">
        <v>89</v>
      </c>
      <c r="H46" s="40" t="s">
        <v>90</v>
      </c>
      <c r="I46" s="40" t="s">
        <v>35</v>
      </c>
      <c r="J46" s="40" t="s">
        <v>36</v>
      </c>
      <c r="K46" s="40" t="s">
        <v>110</v>
      </c>
      <c r="L46" s="40" t="s">
        <v>92</v>
      </c>
      <c r="M46" s="40" t="s">
        <v>111</v>
      </c>
      <c r="N46" s="40" t="s">
        <v>40</v>
      </c>
      <c r="O46" s="48">
        <v>129</v>
      </c>
      <c r="P46" s="48">
        <v>137</v>
      </c>
      <c r="Q46" s="40">
        <v>5</v>
      </c>
      <c r="R46" s="48">
        <v>685</v>
      </c>
      <c r="S46" s="40" t="s">
        <v>85</v>
      </c>
      <c r="T46" s="40" t="s">
        <v>42</v>
      </c>
      <c r="U46" s="40" t="s">
        <v>121</v>
      </c>
      <c r="V46" s="51" t="str">
        <f t="shared" si="2"/>
        <v>Not Delivered</v>
      </c>
      <c r="W46" s="40" t="str">
        <f t="shared" si="3"/>
        <v>Cancelled Order</v>
      </c>
      <c r="X46" s="40"/>
      <c r="Y46" s="40"/>
      <c r="Z46" s="40"/>
      <c r="AA46" s="40"/>
      <c r="AB46" s="40"/>
      <c r="AC46" s="40"/>
      <c r="AD46" s="40"/>
    </row>
    <row r="47" spans="1:30">
      <c r="A47" s="43" t="s">
        <v>222</v>
      </c>
      <c r="B47" s="44">
        <v>45264</v>
      </c>
      <c r="C47" s="45" t="s">
        <v>31</v>
      </c>
      <c r="D47" s="44">
        <v>45268</v>
      </c>
      <c r="E47" s="44"/>
      <c r="F47" s="43" t="s">
        <v>223</v>
      </c>
      <c r="G47" s="43" t="s">
        <v>224</v>
      </c>
      <c r="H47" s="43" t="s">
        <v>34</v>
      </c>
      <c r="I47" s="43" t="s">
        <v>35</v>
      </c>
      <c r="J47" s="43" t="s">
        <v>36</v>
      </c>
      <c r="K47" s="43" t="s">
        <v>130</v>
      </c>
      <c r="L47" s="43" t="s">
        <v>38</v>
      </c>
      <c r="M47" s="43" t="s">
        <v>131</v>
      </c>
      <c r="N47" s="43" t="s">
        <v>94</v>
      </c>
      <c r="O47" s="50">
        <v>69</v>
      </c>
      <c r="P47" s="50">
        <v>73</v>
      </c>
      <c r="Q47" s="43">
        <v>4</v>
      </c>
      <c r="R47" s="50">
        <v>292</v>
      </c>
      <c r="S47" s="43" t="s">
        <v>54</v>
      </c>
      <c r="T47" s="43" t="s">
        <v>55</v>
      </c>
      <c r="U47" s="43" t="s">
        <v>80</v>
      </c>
      <c r="V47" s="52">
        <f t="shared" si="2"/>
        <v>4</v>
      </c>
      <c r="W47" s="43" t="str">
        <f t="shared" si="3"/>
        <v>Slow</v>
      </c>
      <c r="X47" s="43"/>
      <c r="Y47" s="43"/>
      <c r="Z47" s="43"/>
      <c r="AA47" s="43"/>
      <c r="AB47" s="43"/>
      <c r="AC47" s="43"/>
      <c r="AD47" s="43"/>
    </row>
    <row r="48" spans="1:30">
      <c r="A48" s="40" t="s">
        <v>225</v>
      </c>
      <c r="B48" s="41">
        <v>45124</v>
      </c>
      <c r="C48" s="42" t="s">
        <v>104</v>
      </c>
      <c r="D48" s="41">
        <v>45126</v>
      </c>
      <c r="E48" s="41"/>
      <c r="F48" s="40" t="s">
        <v>149</v>
      </c>
      <c r="G48" s="40" t="s">
        <v>150</v>
      </c>
      <c r="H48" s="40" t="s">
        <v>67</v>
      </c>
      <c r="I48" s="40" t="s">
        <v>35</v>
      </c>
      <c r="J48" s="40" t="s">
        <v>36</v>
      </c>
      <c r="K48" s="40" t="s">
        <v>91</v>
      </c>
      <c r="L48" s="40" t="s">
        <v>38</v>
      </c>
      <c r="M48" s="40" t="s">
        <v>93</v>
      </c>
      <c r="N48" s="40" t="s">
        <v>94</v>
      </c>
      <c r="O48" s="48">
        <v>99</v>
      </c>
      <c r="P48" s="48">
        <v>104</v>
      </c>
      <c r="Q48" s="40">
        <v>1</v>
      </c>
      <c r="R48" s="48">
        <v>104</v>
      </c>
      <c r="S48" s="40" t="s">
        <v>70</v>
      </c>
      <c r="T48" s="40" t="s">
        <v>55</v>
      </c>
      <c r="U48" s="40" t="s">
        <v>80</v>
      </c>
      <c r="V48" s="51">
        <f t="shared" si="2"/>
        <v>2</v>
      </c>
      <c r="W48" s="40" t="str">
        <f t="shared" si="3"/>
        <v>Fast</v>
      </c>
      <c r="X48" s="40"/>
      <c r="Y48" s="40"/>
      <c r="Z48" s="40"/>
      <c r="AA48" s="40"/>
      <c r="AB48" s="40"/>
      <c r="AC48" s="40"/>
      <c r="AD48" s="40"/>
    </row>
    <row r="49" spans="1:30">
      <c r="A49" s="43" t="s">
        <v>226</v>
      </c>
      <c r="B49" s="44">
        <v>45218</v>
      </c>
      <c r="C49" s="45" t="s">
        <v>57</v>
      </c>
      <c r="D49" s="44">
        <v>45223</v>
      </c>
      <c r="E49" s="44"/>
      <c r="F49" s="43" t="s">
        <v>65</v>
      </c>
      <c r="G49" s="43" t="s">
        <v>66</v>
      </c>
      <c r="H49" s="43" t="s">
        <v>67</v>
      </c>
      <c r="I49" s="43" t="s">
        <v>68</v>
      </c>
      <c r="J49" s="43" t="s">
        <v>69</v>
      </c>
      <c r="K49" s="43" t="s">
        <v>125</v>
      </c>
      <c r="L49" s="43" t="s">
        <v>51</v>
      </c>
      <c r="M49" s="43" t="s">
        <v>126</v>
      </c>
      <c r="N49" s="43" t="s">
        <v>79</v>
      </c>
      <c r="O49" s="50">
        <v>89</v>
      </c>
      <c r="P49" s="50">
        <v>97</v>
      </c>
      <c r="Q49" s="43">
        <v>1</v>
      </c>
      <c r="R49" s="50">
        <v>97</v>
      </c>
      <c r="S49" s="43" t="s">
        <v>85</v>
      </c>
      <c r="T49" s="43" t="s">
        <v>55</v>
      </c>
      <c r="U49" s="43" t="s">
        <v>121</v>
      </c>
      <c r="V49" s="52">
        <f t="shared" si="2"/>
        <v>5</v>
      </c>
      <c r="W49" s="43" t="str">
        <f t="shared" si="3"/>
        <v>Slow</v>
      </c>
      <c r="X49" s="43"/>
      <c r="Y49" s="43"/>
      <c r="Z49" s="43"/>
      <c r="AA49" s="43"/>
      <c r="AB49" s="43"/>
      <c r="AC49" s="43"/>
      <c r="AD49" s="43"/>
    </row>
    <row r="50" spans="1:30">
      <c r="A50" s="40" t="s">
        <v>227</v>
      </c>
      <c r="B50" s="41">
        <v>45061</v>
      </c>
      <c r="C50" s="42" t="s">
        <v>64</v>
      </c>
      <c r="D50" s="41"/>
      <c r="E50" s="41"/>
      <c r="F50" s="40" t="s">
        <v>228</v>
      </c>
      <c r="G50" s="40" t="s">
        <v>33</v>
      </c>
      <c r="H50" s="40" t="s">
        <v>34</v>
      </c>
      <c r="I50" s="40" t="s">
        <v>75</v>
      </c>
      <c r="J50" s="40" t="s">
        <v>76</v>
      </c>
      <c r="K50" s="40" t="s">
        <v>130</v>
      </c>
      <c r="L50" s="40" t="s">
        <v>59</v>
      </c>
      <c r="M50" s="40" t="s">
        <v>131</v>
      </c>
      <c r="N50" s="40" t="s">
        <v>94</v>
      </c>
      <c r="O50" s="48">
        <v>69</v>
      </c>
      <c r="P50" s="48">
        <v>73</v>
      </c>
      <c r="Q50" s="40">
        <v>5</v>
      </c>
      <c r="R50" s="48">
        <v>365</v>
      </c>
      <c r="S50" s="40" t="s">
        <v>41</v>
      </c>
      <c r="T50" s="40" t="s">
        <v>61</v>
      </c>
      <c r="U50" s="40" t="s">
        <v>80</v>
      </c>
      <c r="V50" s="51" t="str">
        <f t="shared" si="2"/>
        <v>Not Delivered</v>
      </c>
      <c r="W50" s="40" t="str">
        <f t="shared" si="3"/>
        <v>Slow</v>
      </c>
      <c r="X50" s="40"/>
      <c r="Y50" s="40"/>
      <c r="Z50" s="40"/>
      <c r="AA50" s="40"/>
      <c r="AB50" s="40"/>
      <c r="AC50" s="40"/>
      <c r="AD50" s="40"/>
    </row>
    <row r="51" spans="1:30">
      <c r="A51" s="43" t="s">
        <v>229</v>
      </c>
      <c r="B51" s="44">
        <v>44969</v>
      </c>
      <c r="C51" s="45" t="s">
        <v>45</v>
      </c>
      <c r="D51" s="44">
        <v>44976</v>
      </c>
      <c r="E51" s="44"/>
      <c r="F51" s="43" t="s">
        <v>165</v>
      </c>
      <c r="G51" s="43" t="s">
        <v>166</v>
      </c>
      <c r="H51" s="43" t="s">
        <v>90</v>
      </c>
      <c r="I51" s="43" t="s">
        <v>35</v>
      </c>
      <c r="J51" s="43" t="s">
        <v>36</v>
      </c>
      <c r="K51" s="43" t="s">
        <v>133</v>
      </c>
      <c r="L51" s="43" t="s">
        <v>51</v>
      </c>
      <c r="M51" s="43" t="s">
        <v>134</v>
      </c>
      <c r="N51" s="43" t="s">
        <v>79</v>
      </c>
      <c r="O51" s="50">
        <v>25</v>
      </c>
      <c r="P51" s="50">
        <v>27</v>
      </c>
      <c r="Q51" s="43">
        <v>3</v>
      </c>
      <c r="R51" s="50">
        <v>81</v>
      </c>
      <c r="S51" s="43" t="s">
        <v>85</v>
      </c>
      <c r="T51" s="43" t="s">
        <v>55</v>
      </c>
      <c r="U51" s="43" t="s">
        <v>71</v>
      </c>
      <c r="V51" s="52">
        <f t="shared" si="2"/>
        <v>7</v>
      </c>
      <c r="W51" s="43" t="str">
        <f t="shared" si="3"/>
        <v>Slow</v>
      </c>
      <c r="X51" s="43"/>
      <c r="Y51" s="43"/>
      <c r="Z51" s="43"/>
      <c r="AA51" s="43"/>
      <c r="AB51" s="43"/>
      <c r="AC51" s="43"/>
      <c r="AD51" s="43"/>
    </row>
    <row r="52" spans="1:30">
      <c r="A52" s="40" t="s">
        <v>230</v>
      </c>
      <c r="B52" s="41">
        <v>45201</v>
      </c>
      <c r="C52" s="42" t="s">
        <v>57</v>
      </c>
      <c r="D52" s="41"/>
      <c r="E52" s="41"/>
      <c r="F52" s="40" t="s">
        <v>149</v>
      </c>
      <c r="G52" s="40" t="s">
        <v>150</v>
      </c>
      <c r="H52" s="40" t="s">
        <v>67</v>
      </c>
      <c r="I52" s="40" t="s">
        <v>35</v>
      </c>
      <c r="J52" s="40" t="s">
        <v>36</v>
      </c>
      <c r="K52" s="40" t="s">
        <v>100</v>
      </c>
      <c r="L52" s="40" t="s">
        <v>38</v>
      </c>
      <c r="M52" s="40" t="s">
        <v>102</v>
      </c>
      <c r="N52" s="40" t="s">
        <v>40</v>
      </c>
      <c r="O52" s="48">
        <v>34</v>
      </c>
      <c r="P52" s="48">
        <v>37</v>
      </c>
      <c r="Q52" s="40">
        <v>1</v>
      </c>
      <c r="R52" s="48">
        <v>37</v>
      </c>
      <c r="S52" s="40" t="s">
        <v>41</v>
      </c>
      <c r="T52" s="40" t="s">
        <v>61</v>
      </c>
      <c r="U52" s="40" t="s">
        <v>71</v>
      </c>
      <c r="V52" s="51" t="str">
        <f t="shared" si="2"/>
        <v>Not Delivered</v>
      </c>
      <c r="W52" s="40" t="str">
        <f t="shared" si="3"/>
        <v>Slow</v>
      </c>
      <c r="X52" s="40"/>
      <c r="Y52" s="40"/>
      <c r="Z52" s="40"/>
      <c r="AA52" s="40"/>
      <c r="AB52" s="40"/>
      <c r="AC52" s="40"/>
      <c r="AD52" s="40"/>
    </row>
    <row r="53" spans="1:30">
      <c r="A53" s="43" t="s">
        <v>231</v>
      </c>
      <c r="B53" s="44">
        <v>44956</v>
      </c>
      <c r="C53" s="45" t="s">
        <v>173</v>
      </c>
      <c r="D53" s="44">
        <v>44958</v>
      </c>
      <c r="E53" s="44"/>
      <c r="F53" s="43" t="s">
        <v>183</v>
      </c>
      <c r="G53" s="43" t="s">
        <v>184</v>
      </c>
      <c r="H53" s="43" t="s">
        <v>67</v>
      </c>
      <c r="I53" s="43" t="s">
        <v>35</v>
      </c>
      <c r="J53" s="43" t="s">
        <v>185</v>
      </c>
      <c r="K53" s="43" t="s">
        <v>140</v>
      </c>
      <c r="L53" s="43" t="s">
        <v>38</v>
      </c>
      <c r="M53" s="43" t="s">
        <v>141</v>
      </c>
      <c r="N53" s="43" t="s">
        <v>142</v>
      </c>
      <c r="O53" s="50">
        <v>20</v>
      </c>
      <c r="P53" s="50">
        <v>22</v>
      </c>
      <c r="Q53" s="43">
        <v>1</v>
      </c>
      <c r="R53" s="50">
        <v>22</v>
      </c>
      <c r="S53" s="43" t="s">
        <v>95</v>
      </c>
      <c r="T53" s="43" t="s">
        <v>55</v>
      </c>
      <c r="U53" s="43" t="s">
        <v>121</v>
      </c>
      <c r="V53" s="52">
        <f t="shared" si="2"/>
        <v>2</v>
      </c>
      <c r="W53" s="43" t="str">
        <f t="shared" si="3"/>
        <v>Fast</v>
      </c>
      <c r="X53" s="43"/>
      <c r="Y53" s="43"/>
      <c r="Z53" s="43"/>
      <c r="AA53" s="43"/>
      <c r="AB53" s="43"/>
      <c r="AC53" s="43"/>
      <c r="AD53" s="43"/>
    </row>
    <row r="54" spans="1:30">
      <c r="A54" s="40" t="s">
        <v>232</v>
      </c>
      <c r="B54" s="41">
        <v>45289</v>
      </c>
      <c r="C54" s="42" t="s">
        <v>31</v>
      </c>
      <c r="D54" s="41">
        <v>45292</v>
      </c>
      <c r="E54" s="41"/>
      <c r="F54" s="40" t="s">
        <v>144</v>
      </c>
      <c r="G54" s="40" t="s">
        <v>145</v>
      </c>
      <c r="H54" s="40" t="s">
        <v>67</v>
      </c>
      <c r="I54" s="40" t="s">
        <v>48</v>
      </c>
      <c r="J54" s="40" t="s">
        <v>49</v>
      </c>
      <c r="K54" s="40" t="s">
        <v>201</v>
      </c>
      <c r="L54" s="40" t="s">
        <v>92</v>
      </c>
      <c r="M54" s="40" t="s">
        <v>202</v>
      </c>
      <c r="N54" s="40" t="s">
        <v>40</v>
      </c>
      <c r="O54" s="48">
        <v>199</v>
      </c>
      <c r="P54" s="48">
        <v>218</v>
      </c>
      <c r="Q54" s="40">
        <v>5</v>
      </c>
      <c r="R54" s="48">
        <v>1090</v>
      </c>
      <c r="S54" s="40" t="s">
        <v>70</v>
      </c>
      <c r="T54" s="40" t="s">
        <v>55</v>
      </c>
      <c r="U54" s="40" t="s">
        <v>43</v>
      </c>
      <c r="V54" s="51">
        <f t="shared" si="2"/>
        <v>3</v>
      </c>
      <c r="W54" s="40" t="str">
        <f t="shared" si="3"/>
        <v>Slow</v>
      </c>
      <c r="X54" s="40"/>
      <c r="Y54" s="40"/>
      <c r="Z54" s="40"/>
      <c r="AA54" s="40"/>
      <c r="AB54" s="40"/>
      <c r="AC54" s="40"/>
      <c r="AD54" s="40"/>
    </row>
    <row r="55" spans="1:30">
      <c r="A55" s="43" t="s">
        <v>233</v>
      </c>
      <c r="B55" s="44">
        <v>44991</v>
      </c>
      <c r="C55" s="45" t="s">
        <v>187</v>
      </c>
      <c r="D55" s="44"/>
      <c r="E55" s="44">
        <v>44998</v>
      </c>
      <c r="F55" s="43" t="s">
        <v>174</v>
      </c>
      <c r="G55" s="43" t="s">
        <v>175</v>
      </c>
      <c r="H55" s="43" t="s">
        <v>34</v>
      </c>
      <c r="I55" s="43" t="s">
        <v>48</v>
      </c>
      <c r="J55" s="43" t="s">
        <v>49</v>
      </c>
      <c r="K55" s="43" t="s">
        <v>211</v>
      </c>
      <c r="L55" s="43" t="s">
        <v>38</v>
      </c>
      <c r="M55" s="43" t="s">
        <v>212</v>
      </c>
      <c r="N55" s="43" t="s">
        <v>53</v>
      </c>
      <c r="O55" s="50">
        <v>59</v>
      </c>
      <c r="P55" s="50">
        <v>64</v>
      </c>
      <c r="Q55" s="43">
        <v>1</v>
      </c>
      <c r="R55" s="50">
        <v>64</v>
      </c>
      <c r="S55" s="43" t="s">
        <v>41</v>
      </c>
      <c r="T55" s="43" t="s">
        <v>42</v>
      </c>
      <c r="U55" s="43" t="s">
        <v>62</v>
      </c>
      <c r="V55" s="52" t="str">
        <f t="shared" si="2"/>
        <v>Not Delivered</v>
      </c>
      <c r="W55" s="43" t="str">
        <f t="shared" si="3"/>
        <v>Cancelled Order</v>
      </c>
      <c r="X55" s="43"/>
      <c r="Y55" s="43"/>
      <c r="Z55" s="43"/>
      <c r="AA55" s="43"/>
      <c r="AB55" s="43"/>
      <c r="AC55" s="43"/>
      <c r="AD55" s="43"/>
    </row>
    <row r="56" spans="1:30">
      <c r="A56" s="40" t="s">
        <v>234</v>
      </c>
      <c r="B56" s="41">
        <v>44959</v>
      </c>
      <c r="C56" s="42" t="s">
        <v>45</v>
      </c>
      <c r="D56" s="41">
        <v>44963</v>
      </c>
      <c r="E56" s="41"/>
      <c r="F56" s="40" t="s">
        <v>190</v>
      </c>
      <c r="G56" s="40" t="s">
        <v>114</v>
      </c>
      <c r="H56" s="40" t="s">
        <v>34</v>
      </c>
      <c r="I56" s="40" t="s">
        <v>48</v>
      </c>
      <c r="J56" s="40" t="s">
        <v>49</v>
      </c>
      <c r="K56" s="40" t="s">
        <v>100</v>
      </c>
      <c r="L56" s="40" t="s">
        <v>92</v>
      </c>
      <c r="M56" s="40" t="s">
        <v>102</v>
      </c>
      <c r="N56" s="40" t="s">
        <v>40</v>
      </c>
      <c r="O56" s="48">
        <v>34</v>
      </c>
      <c r="P56" s="48">
        <v>36</v>
      </c>
      <c r="Q56" s="40">
        <v>4</v>
      </c>
      <c r="R56" s="48">
        <v>144</v>
      </c>
      <c r="S56" s="40" t="s">
        <v>70</v>
      </c>
      <c r="T56" s="40" t="s">
        <v>55</v>
      </c>
      <c r="U56" s="40" t="s">
        <v>80</v>
      </c>
      <c r="V56" s="51">
        <f t="shared" si="2"/>
        <v>4</v>
      </c>
      <c r="W56" s="40" t="str">
        <f t="shared" si="3"/>
        <v>Slow</v>
      </c>
      <c r="X56" s="40"/>
      <c r="Y56" s="40"/>
      <c r="Z56" s="40"/>
      <c r="AA56" s="40"/>
      <c r="AB56" s="40"/>
      <c r="AC56" s="40"/>
      <c r="AD56" s="40"/>
    </row>
    <row r="57" spans="1:30">
      <c r="A57" s="43" t="s">
        <v>235</v>
      </c>
      <c r="B57" s="44">
        <v>45217</v>
      </c>
      <c r="C57" s="45" t="s">
        <v>57</v>
      </c>
      <c r="D57" s="44">
        <v>45220</v>
      </c>
      <c r="E57" s="44"/>
      <c r="F57" s="43" t="s">
        <v>236</v>
      </c>
      <c r="G57" s="43" t="s">
        <v>153</v>
      </c>
      <c r="H57" s="43" t="s">
        <v>67</v>
      </c>
      <c r="I57" s="43" t="s">
        <v>35</v>
      </c>
      <c r="J57" s="43" t="s">
        <v>36</v>
      </c>
      <c r="K57" s="43" t="s">
        <v>211</v>
      </c>
      <c r="L57" s="43" t="s">
        <v>101</v>
      </c>
      <c r="M57" s="43" t="s">
        <v>212</v>
      </c>
      <c r="N57" s="43" t="s">
        <v>53</v>
      </c>
      <c r="O57" s="50">
        <v>59</v>
      </c>
      <c r="P57" s="50">
        <v>65</v>
      </c>
      <c r="Q57" s="43">
        <v>1</v>
      </c>
      <c r="R57" s="50">
        <v>65</v>
      </c>
      <c r="S57" s="43" t="s">
        <v>85</v>
      </c>
      <c r="T57" s="43" t="s">
        <v>55</v>
      </c>
      <c r="U57" s="43" t="s">
        <v>121</v>
      </c>
      <c r="V57" s="52">
        <f t="shared" si="2"/>
        <v>3</v>
      </c>
      <c r="W57" s="43" t="str">
        <f t="shared" si="3"/>
        <v>Slow</v>
      </c>
      <c r="X57" s="43"/>
      <c r="Y57" s="43"/>
      <c r="Z57" s="43"/>
      <c r="AA57" s="43"/>
      <c r="AB57" s="43"/>
      <c r="AC57" s="43"/>
      <c r="AD57" s="43"/>
    </row>
    <row r="58" spans="1:30">
      <c r="A58" s="40" t="s">
        <v>237</v>
      </c>
      <c r="B58" s="41">
        <v>44933</v>
      </c>
      <c r="C58" s="42" t="s">
        <v>173</v>
      </c>
      <c r="D58" s="41">
        <v>44935</v>
      </c>
      <c r="E58" s="41"/>
      <c r="F58" s="40" t="s">
        <v>152</v>
      </c>
      <c r="G58" s="40" t="s">
        <v>153</v>
      </c>
      <c r="H58" s="40" t="s">
        <v>34</v>
      </c>
      <c r="I58" s="40" t="s">
        <v>48</v>
      </c>
      <c r="J58" s="40" t="s">
        <v>49</v>
      </c>
      <c r="K58" s="40" t="s">
        <v>133</v>
      </c>
      <c r="L58" s="40" t="s">
        <v>92</v>
      </c>
      <c r="M58" s="40" t="s">
        <v>134</v>
      </c>
      <c r="N58" s="40" t="s">
        <v>79</v>
      </c>
      <c r="O58" s="48">
        <v>25</v>
      </c>
      <c r="P58" s="48">
        <v>26</v>
      </c>
      <c r="Q58" s="40">
        <v>1</v>
      </c>
      <c r="R58" s="48">
        <v>26</v>
      </c>
      <c r="S58" s="40" t="s">
        <v>41</v>
      </c>
      <c r="T58" s="40" t="s">
        <v>55</v>
      </c>
      <c r="U58" s="40" t="s">
        <v>43</v>
      </c>
      <c r="V58" s="51">
        <f t="shared" si="2"/>
        <v>2</v>
      </c>
      <c r="W58" s="40" t="str">
        <f t="shared" si="3"/>
        <v>Fast</v>
      </c>
      <c r="X58" s="40"/>
      <c r="Y58" s="40"/>
      <c r="Z58" s="40"/>
      <c r="AA58" s="40"/>
      <c r="AB58" s="40"/>
      <c r="AC58" s="40"/>
      <c r="AD58" s="40"/>
    </row>
    <row r="59" spans="1:30">
      <c r="A59" s="43" t="s">
        <v>238</v>
      </c>
      <c r="B59" s="44">
        <v>45054</v>
      </c>
      <c r="C59" s="45" t="s">
        <v>64</v>
      </c>
      <c r="D59" s="44"/>
      <c r="E59" s="44"/>
      <c r="F59" s="43" t="s">
        <v>32</v>
      </c>
      <c r="G59" s="43" t="s">
        <v>33</v>
      </c>
      <c r="H59" s="43" t="s">
        <v>34</v>
      </c>
      <c r="I59" s="43" t="s">
        <v>35</v>
      </c>
      <c r="J59" s="43" t="s">
        <v>36</v>
      </c>
      <c r="K59" s="43" t="s">
        <v>191</v>
      </c>
      <c r="L59" s="43" t="s">
        <v>38</v>
      </c>
      <c r="M59" s="43" t="s">
        <v>192</v>
      </c>
      <c r="N59" s="43" t="s">
        <v>142</v>
      </c>
      <c r="O59" s="50">
        <v>10</v>
      </c>
      <c r="P59" s="50">
        <v>11</v>
      </c>
      <c r="Q59" s="43">
        <v>5</v>
      </c>
      <c r="R59" s="50">
        <v>55</v>
      </c>
      <c r="S59" s="43" t="s">
        <v>54</v>
      </c>
      <c r="T59" s="43" t="s">
        <v>61</v>
      </c>
      <c r="U59" s="43" t="s">
        <v>121</v>
      </c>
      <c r="V59" s="52" t="str">
        <f t="shared" si="2"/>
        <v>Not Delivered</v>
      </c>
      <c r="W59" s="43" t="str">
        <f t="shared" si="3"/>
        <v>Slow</v>
      </c>
      <c r="X59" s="43"/>
      <c r="Y59" s="43"/>
      <c r="Z59" s="43"/>
      <c r="AA59" s="43"/>
      <c r="AB59" s="43"/>
      <c r="AC59" s="43"/>
      <c r="AD59" s="43"/>
    </row>
    <row r="60" spans="1:30">
      <c r="A60" s="40" t="s">
        <v>239</v>
      </c>
      <c r="B60" s="41">
        <v>45018</v>
      </c>
      <c r="C60" s="42" t="s">
        <v>97</v>
      </c>
      <c r="D60" s="41"/>
      <c r="E60" s="41">
        <v>45021</v>
      </c>
      <c r="F60" s="40" t="s">
        <v>240</v>
      </c>
      <c r="G60" s="40" t="s">
        <v>241</v>
      </c>
      <c r="H60" s="40" t="s">
        <v>90</v>
      </c>
      <c r="I60" s="40" t="s">
        <v>35</v>
      </c>
      <c r="J60" s="40" t="s">
        <v>36</v>
      </c>
      <c r="K60" s="40" t="s">
        <v>58</v>
      </c>
      <c r="L60" s="40" t="s">
        <v>38</v>
      </c>
      <c r="M60" s="40" t="s">
        <v>60</v>
      </c>
      <c r="N60" s="40" t="s">
        <v>40</v>
      </c>
      <c r="O60" s="48">
        <v>185</v>
      </c>
      <c r="P60" s="48">
        <v>195</v>
      </c>
      <c r="Q60" s="40">
        <v>4</v>
      </c>
      <c r="R60" s="48">
        <v>780</v>
      </c>
      <c r="S60" s="40" t="s">
        <v>70</v>
      </c>
      <c r="T60" s="40" t="s">
        <v>42</v>
      </c>
      <c r="U60" s="40" t="s">
        <v>121</v>
      </c>
      <c r="V60" s="51" t="str">
        <f t="shared" si="2"/>
        <v>Not Delivered</v>
      </c>
      <c r="W60" s="40" t="str">
        <f t="shared" si="3"/>
        <v>Cancelled Order</v>
      </c>
      <c r="X60" s="40"/>
      <c r="Y60" s="40"/>
      <c r="Z60" s="40"/>
      <c r="AA60" s="40"/>
      <c r="AB60" s="40"/>
      <c r="AC60" s="40"/>
      <c r="AD60" s="40"/>
    </row>
    <row r="61" spans="1:30">
      <c r="A61" s="43" t="s">
        <v>242</v>
      </c>
      <c r="B61" s="44">
        <v>45210</v>
      </c>
      <c r="C61" s="45" t="s">
        <v>57</v>
      </c>
      <c r="D61" s="44"/>
      <c r="E61" s="44">
        <v>45211</v>
      </c>
      <c r="F61" s="43" t="s">
        <v>98</v>
      </c>
      <c r="G61" s="43" t="s">
        <v>99</v>
      </c>
      <c r="H61" s="43" t="s">
        <v>90</v>
      </c>
      <c r="I61" s="43" t="s">
        <v>75</v>
      </c>
      <c r="J61" s="43" t="s">
        <v>76</v>
      </c>
      <c r="K61" s="43" t="s">
        <v>107</v>
      </c>
      <c r="L61" s="43" t="s">
        <v>101</v>
      </c>
      <c r="M61" s="43" t="s">
        <v>108</v>
      </c>
      <c r="N61" s="43" t="s">
        <v>79</v>
      </c>
      <c r="O61" s="50">
        <v>40</v>
      </c>
      <c r="P61" s="50">
        <v>44</v>
      </c>
      <c r="Q61" s="43">
        <v>5</v>
      </c>
      <c r="R61" s="50">
        <v>220</v>
      </c>
      <c r="S61" s="43" t="s">
        <v>41</v>
      </c>
      <c r="T61" s="43" t="s">
        <v>42</v>
      </c>
      <c r="U61" s="43" t="s">
        <v>62</v>
      </c>
      <c r="V61" s="52" t="str">
        <f t="shared" si="2"/>
        <v>Not Delivered</v>
      </c>
      <c r="W61" s="43" t="str">
        <f t="shared" si="3"/>
        <v>Cancelled Order</v>
      </c>
      <c r="X61" s="43"/>
      <c r="Y61" s="43"/>
      <c r="Z61" s="43"/>
      <c r="AA61" s="43"/>
      <c r="AB61" s="43"/>
      <c r="AC61" s="43"/>
      <c r="AD61" s="43"/>
    </row>
    <row r="62" spans="1:30">
      <c r="A62" s="40" t="s">
        <v>243</v>
      </c>
      <c r="B62" s="41">
        <v>45179</v>
      </c>
      <c r="C62" s="42" t="s">
        <v>214</v>
      </c>
      <c r="D62" s="41"/>
      <c r="E62" s="41"/>
      <c r="F62" s="40" t="s">
        <v>244</v>
      </c>
      <c r="G62" s="40" t="s">
        <v>245</v>
      </c>
      <c r="H62" s="40" t="s">
        <v>67</v>
      </c>
      <c r="I62" s="40" t="s">
        <v>48</v>
      </c>
      <c r="J62" s="40" t="s">
        <v>49</v>
      </c>
      <c r="K62" s="40" t="s">
        <v>146</v>
      </c>
      <c r="L62" s="40" t="s">
        <v>51</v>
      </c>
      <c r="M62" s="40" t="s">
        <v>147</v>
      </c>
      <c r="N62" s="40" t="s">
        <v>142</v>
      </c>
      <c r="O62" s="48">
        <v>65</v>
      </c>
      <c r="P62" s="48">
        <v>69</v>
      </c>
      <c r="Q62" s="40">
        <v>4</v>
      </c>
      <c r="R62" s="48">
        <v>276</v>
      </c>
      <c r="S62" s="40" t="s">
        <v>95</v>
      </c>
      <c r="T62" s="40" t="s">
        <v>61</v>
      </c>
      <c r="U62" s="40" t="s">
        <v>43</v>
      </c>
      <c r="V62" s="51" t="str">
        <f t="shared" si="2"/>
        <v>Not Delivered</v>
      </c>
      <c r="W62" s="40" t="str">
        <f t="shared" si="3"/>
        <v>Slow</v>
      </c>
      <c r="X62" s="40"/>
      <c r="Y62" s="40"/>
      <c r="Z62" s="40"/>
      <c r="AA62" s="40"/>
      <c r="AB62" s="40"/>
      <c r="AC62" s="40"/>
      <c r="AD62" s="40"/>
    </row>
    <row r="63" spans="1:30">
      <c r="A63" s="43" t="s">
        <v>246</v>
      </c>
      <c r="B63" s="44">
        <v>45252</v>
      </c>
      <c r="C63" s="45" t="s">
        <v>82</v>
      </c>
      <c r="D63" s="44">
        <v>45259</v>
      </c>
      <c r="E63" s="44"/>
      <c r="F63" s="43" t="s">
        <v>247</v>
      </c>
      <c r="G63" s="43" t="s">
        <v>160</v>
      </c>
      <c r="H63" s="43" t="s">
        <v>34</v>
      </c>
      <c r="I63" s="43" t="s">
        <v>48</v>
      </c>
      <c r="J63" s="43" t="s">
        <v>49</v>
      </c>
      <c r="K63" s="43" t="s">
        <v>154</v>
      </c>
      <c r="L63" s="43" t="s">
        <v>38</v>
      </c>
      <c r="M63" s="43" t="s">
        <v>155</v>
      </c>
      <c r="N63" s="43" t="s">
        <v>94</v>
      </c>
      <c r="O63" s="50">
        <v>749</v>
      </c>
      <c r="P63" s="50">
        <v>815</v>
      </c>
      <c r="Q63" s="43">
        <v>4</v>
      </c>
      <c r="R63" s="50">
        <v>3260</v>
      </c>
      <c r="S63" s="43" t="s">
        <v>54</v>
      </c>
      <c r="T63" s="43" t="s">
        <v>55</v>
      </c>
      <c r="U63" s="43" t="s">
        <v>62</v>
      </c>
      <c r="V63" s="52">
        <f t="shared" si="2"/>
        <v>7</v>
      </c>
      <c r="W63" s="43" t="str">
        <f t="shared" si="3"/>
        <v>Slow</v>
      </c>
      <c r="X63" s="43"/>
      <c r="Y63" s="43"/>
      <c r="Z63" s="43"/>
      <c r="AA63" s="43"/>
      <c r="AB63" s="43"/>
      <c r="AC63" s="43"/>
      <c r="AD63" s="43"/>
    </row>
    <row r="64" spans="1:30">
      <c r="A64" s="40" t="s">
        <v>248</v>
      </c>
      <c r="B64" s="41">
        <v>45048</v>
      </c>
      <c r="C64" s="42" t="s">
        <v>64</v>
      </c>
      <c r="D64" s="41"/>
      <c r="E64" s="41"/>
      <c r="F64" s="40" t="s">
        <v>249</v>
      </c>
      <c r="G64" s="40" t="s">
        <v>89</v>
      </c>
      <c r="H64" s="40" t="s">
        <v>90</v>
      </c>
      <c r="I64" s="40" t="s">
        <v>180</v>
      </c>
      <c r="J64" s="40" t="s">
        <v>181</v>
      </c>
      <c r="K64" s="40" t="s">
        <v>133</v>
      </c>
      <c r="L64" s="40" t="s">
        <v>51</v>
      </c>
      <c r="M64" s="40" t="s">
        <v>134</v>
      </c>
      <c r="N64" s="40" t="s">
        <v>79</v>
      </c>
      <c r="O64" s="48">
        <v>25</v>
      </c>
      <c r="P64" s="48">
        <v>27</v>
      </c>
      <c r="Q64" s="40">
        <v>1</v>
      </c>
      <c r="R64" s="48">
        <v>27</v>
      </c>
      <c r="S64" s="40" t="s">
        <v>95</v>
      </c>
      <c r="T64" s="40" t="s">
        <v>61</v>
      </c>
      <c r="U64" s="40" t="s">
        <v>80</v>
      </c>
      <c r="V64" s="51" t="str">
        <f t="shared" si="2"/>
        <v>Not Delivered</v>
      </c>
      <c r="W64" s="40" t="str">
        <f t="shared" si="3"/>
        <v>Slow</v>
      </c>
      <c r="X64" s="40"/>
      <c r="Y64" s="40"/>
      <c r="Z64" s="40"/>
      <c r="AA64" s="40"/>
      <c r="AB64" s="40"/>
      <c r="AC64" s="40"/>
      <c r="AD64" s="40"/>
    </row>
    <row r="65" spans="1:30">
      <c r="A65" s="43" t="s">
        <v>250</v>
      </c>
      <c r="B65" s="44">
        <v>45285</v>
      </c>
      <c r="C65" s="45" t="s">
        <v>31</v>
      </c>
      <c r="D65" s="44">
        <v>45289</v>
      </c>
      <c r="E65" s="44"/>
      <c r="F65" s="43" t="s">
        <v>251</v>
      </c>
      <c r="G65" s="43" t="s">
        <v>89</v>
      </c>
      <c r="H65" s="43" t="s">
        <v>67</v>
      </c>
      <c r="I65" s="43" t="s">
        <v>115</v>
      </c>
      <c r="J65" s="43" t="s">
        <v>116</v>
      </c>
      <c r="K65" s="43" t="s">
        <v>110</v>
      </c>
      <c r="L65" s="43" t="s">
        <v>101</v>
      </c>
      <c r="M65" s="43" t="s">
        <v>111</v>
      </c>
      <c r="N65" s="43" t="s">
        <v>40</v>
      </c>
      <c r="O65" s="50">
        <v>129</v>
      </c>
      <c r="P65" s="50">
        <v>139</v>
      </c>
      <c r="Q65" s="43">
        <v>5</v>
      </c>
      <c r="R65" s="50">
        <v>695</v>
      </c>
      <c r="S65" s="43" t="s">
        <v>41</v>
      </c>
      <c r="T65" s="43" t="s">
        <v>55</v>
      </c>
      <c r="U65" s="43" t="s">
        <v>62</v>
      </c>
      <c r="V65" s="52">
        <f t="shared" si="2"/>
        <v>4</v>
      </c>
      <c r="W65" s="43" t="str">
        <f t="shared" si="3"/>
        <v>Slow</v>
      </c>
      <c r="X65" s="43"/>
      <c r="Y65" s="43"/>
      <c r="Z65" s="43"/>
      <c r="AA65" s="43"/>
      <c r="AB65" s="43"/>
      <c r="AC65" s="43"/>
      <c r="AD65" s="43"/>
    </row>
    <row r="66" spans="1:30">
      <c r="A66" s="40" t="s">
        <v>252</v>
      </c>
      <c r="B66" s="41">
        <v>45217</v>
      </c>
      <c r="C66" s="42" t="s">
        <v>57</v>
      </c>
      <c r="D66" s="41"/>
      <c r="E66" s="41">
        <v>45219</v>
      </c>
      <c r="F66" s="40" t="s">
        <v>83</v>
      </c>
      <c r="G66" s="40" t="s">
        <v>84</v>
      </c>
      <c r="H66" s="40" t="s">
        <v>67</v>
      </c>
      <c r="I66" s="40" t="s">
        <v>75</v>
      </c>
      <c r="J66" s="40" t="s">
        <v>76</v>
      </c>
      <c r="K66" s="40" t="s">
        <v>146</v>
      </c>
      <c r="L66" s="40" t="s">
        <v>59</v>
      </c>
      <c r="M66" s="40" t="s">
        <v>147</v>
      </c>
      <c r="N66" s="40" t="s">
        <v>142</v>
      </c>
      <c r="O66" s="48">
        <v>65</v>
      </c>
      <c r="P66" s="48">
        <v>69</v>
      </c>
      <c r="Q66" s="40">
        <v>3</v>
      </c>
      <c r="R66" s="48">
        <v>207</v>
      </c>
      <c r="S66" s="40" t="s">
        <v>70</v>
      </c>
      <c r="T66" s="40" t="s">
        <v>42</v>
      </c>
      <c r="U66" s="40" t="s">
        <v>80</v>
      </c>
      <c r="V66" s="51" t="str">
        <f t="shared" si="2"/>
        <v>Not Delivered</v>
      </c>
      <c r="W66" s="40" t="str">
        <f t="shared" si="3"/>
        <v>Cancelled Order</v>
      </c>
      <c r="X66" s="40"/>
      <c r="Y66" s="40"/>
      <c r="Z66" s="40"/>
      <c r="AA66" s="40"/>
      <c r="AB66" s="40"/>
      <c r="AC66" s="40"/>
      <c r="AD66" s="40"/>
    </row>
    <row r="67" spans="1:30">
      <c r="A67" s="43" t="s">
        <v>253</v>
      </c>
      <c r="B67" s="44">
        <v>45066</v>
      </c>
      <c r="C67" s="45" t="s">
        <v>64</v>
      </c>
      <c r="D67" s="44"/>
      <c r="E67" s="44">
        <v>45067</v>
      </c>
      <c r="F67" s="43" t="s">
        <v>83</v>
      </c>
      <c r="G67" s="43" t="s">
        <v>84</v>
      </c>
      <c r="H67" s="43" t="s">
        <v>67</v>
      </c>
      <c r="I67" s="43" t="s">
        <v>75</v>
      </c>
      <c r="J67" s="43" t="s">
        <v>76</v>
      </c>
      <c r="K67" s="43" t="s">
        <v>107</v>
      </c>
      <c r="L67" s="43" t="s">
        <v>101</v>
      </c>
      <c r="M67" s="43" t="s">
        <v>108</v>
      </c>
      <c r="N67" s="43" t="s">
        <v>79</v>
      </c>
      <c r="O67" s="50">
        <v>40</v>
      </c>
      <c r="P67" s="50">
        <v>42</v>
      </c>
      <c r="Q67" s="43">
        <v>1</v>
      </c>
      <c r="R67" s="50">
        <v>42</v>
      </c>
      <c r="S67" s="43" t="s">
        <v>41</v>
      </c>
      <c r="T67" s="43" t="s">
        <v>42</v>
      </c>
      <c r="U67" s="43" t="s">
        <v>43</v>
      </c>
      <c r="V67" s="52" t="str">
        <f t="shared" ref="V67:V101" si="4">IF(DATEDIF($B67,$D67,"D")&gt;0,DATEDIF($B67,$D67,"D"),"Not Delivered")</f>
        <v>Not Delivered</v>
      </c>
      <c r="W67" s="43" t="str">
        <f t="shared" ref="W67:W101" si="5">IF(AND(DATEDIF($B67,$D67,"D")&gt;0,DATEDIF($B67,$D67,"D")&lt;=2),"Fast",IF(AND(DATEDIF($B67,$D67,"D")&gt;0,DATEDIF($B67,$D67,"D")&gt;2,$T67="Delivered"),"Slow",IF(T67="In Transit","Slow","Cancelled Order")))</f>
        <v>Cancelled Order</v>
      </c>
      <c r="X67" s="43"/>
      <c r="Y67" s="43"/>
      <c r="Z67" s="43"/>
      <c r="AA67" s="43"/>
      <c r="AB67" s="43"/>
      <c r="AC67" s="43"/>
      <c r="AD67" s="43"/>
    </row>
    <row r="68" spans="1:30">
      <c r="A68" s="40" t="s">
        <v>254</v>
      </c>
      <c r="B68" s="41">
        <v>45135</v>
      </c>
      <c r="C68" s="42" t="s">
        <v>104</v>
      </c>
      <c r="D68" s="41">
        <v>45137</v>
      </c>
      <c r="E68" s="41"/>
      <c r="F68" s="40" t="s">
        <v>255</v>
      </c>
      <c r="G68" s="40" t="e">
        <v>#N/A</v>
      </c>
      <c r="H68" s="40" t="e">
        <v>#N/A</v>
      </c>
      <c r="I68" s="40" t="e">
        <v>#N/A</v>
      </c>
      <c r="J68" s="40" t="e">
        <v>#N/A</v>
      </c>
      <c r="K68" s="40" t="s">
        <v>205</v>
      </c>
      <c r="L68" s="40" t="s">
        <v>38</v>
      </c>
      <c r="M68" s="40" t="s">
        <v>206</v>
      </c>
      <c r="N68" s="40" t="s">
        <v>53</v>
      </c>
      <c r="O68" s="48">
        <v>29</v>
      </c>
      <c r="P68" s="48">
        <v>31</v>
      </c>
      <c r="Q68" s="40">
        <v>4</v>
      </c>
      <c r="R68" s="48">
        <v>124</v>
      </c>
      <c r="S68" s="40" t="s">
        <v>54</v>
      </c>
      <c r="T68" s="40" t="s">
        <v>55</v>
      </c>
      <c r="U68" s="40" t="s">
        <v>71</v>
      </c>
      <c r="V68" s="51">
        <f t="shared" si="4"/>
        <v>2</v>
      </c>
      <c r="W68" s="40" t="str">
        <f t="shared" si="5"/>
        <v>Fast</v>
      </c>
      <c r="X68" s="40"/>
      <c r="Y68" s="40"/>
      <c r="Z68" s="40"/>
      <c r="AA68" s="40"/>
      <c r="AB68" s="40"/>
      <c r="AC68" s="40"/>
      <c r="AD68" s="40"/>
    </row>
    <row r="69" spans="1:30">
      <c r="A69" s="43" t="s">
        <v>256</v>
      </c>
      <c r="B69" s="44">
        <v>45278</v>
      </c>
      <c r="C69" s="45" t="s">
        <v>31</v>
      </c>
      <c r="D69" s="44"/>
      <c r="E69" s="44"/>
      <c r="F69" s="43" t="s">
        <v>120</v>
      </c>
      <c r="G69" s="43" t="s">
        <v>114</v>
      </c>
      <c r="H69" s="43" t="s">
        <v>34</v>
      </c>
      <c r="I69" s="43" t="s">
        <v>35</v>
      </c>
      <c r="J69" s="43" t="s">
        <v>36</v>
      </c>
      <c r="K69" s="43" t="s">
        <v>91</v>
      </c>
      <c r="L69" s="43" t="s">
        <v>101</v>
      </c>
      <c r="M69" s="43" t="s">
        <v>93</v>
      </c>
      <c r="N69" s="43" t="s">
        <v>94</v>
      </c>
      <c r="O69" s="50">
        <v>99</v>
      </c>
      <c r="P69" s="50">
        <v>104</v>
      </c>
      <c r="Q69" s="43">
        <v>3</v>
      </c>
      <c r="R69" s="50">
        <v>312</v>
      </c>
      <c r="S69" s="43" t="s">
        <v>54</v>
      </c>
      <c r="T69" s="43" t="s">
        <v>61</v>
      </c>
      <c r="U69" s="43" t="s">
        <v>71</v>
      </c>
      <c r="V69" s="52" t="str">
        <f t="shared" si="4"/>
        <v>Not Delivered</v>
      </c>
      <c r="W69" s="43" t="str">
        <f t="shared" si="5"/>
        <v>Slow</v>
      </c>
      <c r="X69" s="43"/>
      <c r="Y69" s="43"/>
      <c r="Z69" s="43"/>
      <c r="AA69" s="43"/>
      <c r="AB69" s="43"/>
      <c r="AC69" s="43"/>
      <c r="AD69" s="43"/>
    </row>
    <row r="70" spans="1:30">
      <c r="A70" s="40" t="s">
        <v>257</v>
      </c>
      <c r="B70" s="41">
        <v>45109</v>
      </c>
      <c r="C70" s="42" t="s">
        <v>104</v>
      </c>
      <c r="D70" s="41"/>
      <c r="E70" s="41">
        <v>45114</v>
      </c>
      <c r="F70" s="40" t="s">
        <v>65</v>
      </c>
      <c r="G70" s="40" t="s">
        <v>66</v>
      </c>
      <c r="H70" s="40" t="s">
        <v>67</v>
      </c>
      <c r="I70" s="40" t="s">
        <v>68</v>
      </c>
      <c r="J70" s="40" t="s">
        <v>69</v>
      </c>
      <c r="K70" s="40" t="s">
        <v>77</v>
      </c>
      <c r="L70" s="40" t="s">
        <v>51</v>
      </c>
      <c r="M70" s="40" t="s">
        <v>78</v>
      </c>
      <c r="N70" s="40" t="s">
        <v>79</v>
      </c>
      <c r="O70" s="48">
        <v>55</v>
      </c>
      <c r="P70" s="48">
        <v>58</v>
      </c>
      <c r="Q70" s="40">
        <v>2</v>
      </c>
      <c r="R70" s="48">
        <v>116</v>
      </c>
      <c r="S70" s="40" t="s">
        <v>41</v>
      </c>
      <c r="T70" s="40" t="s">
        <v>42</v>
      </c>
      <c r="U70" s="40" t="s">
        <v>62</v>
      </c>
      <c r="V70" s="51" t="str">
        <f t="shared" si="4"/>
        <v>Not Delivered</v>
      </c>
      <c r="W70" s="40" t="str">
        <f t="shared" si="5"/>
        <v>Cancelled Order</v>
      </c>
      <c r="X70" s="40"/>
      <c r="Y70" s="40"/>
      <c r="Z70" s="40"/>
      <c r="AA70" s="40"/>
      <c r="AB70" s="40"/>
      <c r="AC70" s="40"/>
      <c r="AD70" s="40"/>
    </row>
    <row r="71" spans="1:30">
      <c r="A71" s="43" t="s">
        <v>258</v>
      </c>
      <c r="B71" s="44">
        <v>45208</v>
      </c>
      <c r="C71" s="45" t="s">
        <v>57</v>
      </c>
      <c r="D71" s="44"/>
      <c r="E71" s="44">
        <v>45209</v>
      </c>
      <c r="F71" s="43" t="s">
        <v>83</v>
      </c>
      <c r="G71" s="43" t="s">
        <v>84</v>
      </c>
      <c r="H71" s="43" t="s">
        <v>67</v>
      </c>
      <c r="I71" s="43" t="s">
        <v>75</v>
      </c>
      <c r="J71" s="43" t="s">
        <v>76</v>
      </c>
      <c r="K71" s="43" t="s">
        <v>211</v>
      </c>
      <c r="L71" s="43" t="s">
        <v>101</v>
      </c>
      <c r="M71" s="43" t="s">
        <v>212</v>
      </c>
      <c r="N71" s="43" t="s">
        <v>53</v>
      </c>
      <c r="O71" s="50">
        <v>59</v>
      </c>
      <c r="P71" s="50">
        <v>62</v>
      </c>
      <c r="Q71" s="43">
        <v>2</v>
      </c>
      <c r="R71" s="50">
        <v>124</v>
      </c>
      <c r="S71" s="43" t="s">
        <v>95</v>
      </c>
      <c r="T71" s="43" t="s">
        <v>42</v>
      </c>
      <c r="U71" s="43" t="s">
        <v>43</v>
      </c>
      <c r="V71" s="52" t="str">
        <f t="shared" si="4"/>
        <v>Not Delivered</v>
      </c>
      <c r="W71" s="43" t="str">
        <f t="shared" si="5"/>
        <v>Cancelled Order</v>
      </c>
      <c r="X71" s="43"/>
      <c r="Y71" s="43"/>
      <c r="Z71" s="43"/>
      <c r="AA71" s="43"/>
      <c r="AB71" s="43"/>
      <c r="AC71" s="43"/>
      <c r="AD71" s="43"/>
    </row>
    <row r="72" spans="1:30">
      <c r="A72" s="40" t="s">
        <v>259</v>
      </c>
      <c r="B72" s="41">
        <v>45278</v>
      </c>
      <c r="C72" s="42" t="s">
        <v>31</v>
      </c>
      <c r="D72" s="41">
        <v>45285</v>
      </c>
      <c r="E72" s="41"/>
      <c r="F72" s="40" t="s">
        <v>210</v>
      </c>
      <c r="G72" s="40" t="s">
        <v>99</v>
      </c>
      <c r="H72" s="40" t="s">
        <v>90</v>
      </c>
      <c r="I72" s="40" t="s">
        <v>115</v>
      </c>
      <c r="J72" s="40" t="s">
        <v>116</v>
      </c>
      <c r="K72" s="40" t="s">
        <v>107</v>
      </c>
      <c r="L72" s="40" t="s">
        <v>51</v>
      </c>
      <c r="M72" s="40" t="s">
        <v>108</v>
      </c>
      <c r="N72" s="40" t="s">
        <v>79</v>
      </c>
      <c r="O72" s="48">
        <v>40</v>
      </c>
      <c r="P72" s="48">
        <v>43</v>
      </c>
      <c r="Q72" s="40">
        <v>1</v>
      </c>
      <c r="R72" s="48">
        <v>43</v>
      </c>
      <c r="S72" s="40" t="s">
        <v>54</v>
      </c>
      <c r="T72" s="40" t="s">
        <v>55</v>
      </c>
      <c r="U72" s="40" t="s">
        <v>80</v>
      </c>
      <c r="V72" s="51">
        <f t="shared" si="4"/>
        <v>7</v>
      </c>
      <c r="W72" s="40" t="str">
        <f t="shared" si="5"/>
        <v>Slow</v>
      </c>
      <c r="X72" s="40"/>
      <c r="Y72" s="40"/>
      <c r="Z72" s="40"/>
      <c r="AA72" s="40"/>
      <c r="AB72" s="40"/>
      <c r="AC72" s="40"/>
      <c r="AD72" s="40"/>
    </row>
    <row r="73" spans="1:30">
      <c r="A73" s="43" t="s">
        <v>260</v>
      </c>
      <c r="B73" s="44">
        <v>44992</v>
      </c>
      <c r="C73" s="45" t="s">
        <v>187</v>
      </c>
      <c r="D73" s="44"/>
      <c r="E73" s="44"/>
      <c r="F73" s="43" t="s">
        <v>247</v>
      </c>
      <c r="G73" s="43" t="s">
        <v>160</v>
      </c>
      <c r="H73" s="43" t="s">
        <v>34</v>
      </c>
      <c r="I73" s="43" t="s">
        <v>48</v>
      </c>
      <c r="J73" s="43" t="s">
        <v>49</v>
      </c>
      <c r="K73" s="43" t="s">
        <v>211</v>
      </c>
      <c r="L73" s="43" t="s">
        <v>51</v>
      </c>
      <c r="M73" s="43" t="s">
        <v>212</v>
      </c>
      <c r="N73" s="43" t="s">
        <v>53</v>
      </c>
      <c r="O73" s="50">
        <v>59</v>
      </c>
      <c r="P73" s="50">
        <v>62</v>
      </c>
      <c r="Q73" s="43">
        <v>4</v>
      </c>
      <c r="R73" s="50">
        <v>248</v>
      </c>
      <c r="S73" s="43" t="s">
        <v>95</v>
      </c>
      <c r="T73" s="43" t="s">
        <v>61</v>
      </c>
      <c r="U73" s="43" t="s">
        <v>80</v>
      </c>
      <c r="V73" s="52" t="str">
        <f t="shared" si="4"/>
        <v>Not Delivered</v>
      </c>
      <c r="W73" s="43" t="str">
        <f t="shared" si="5"/>
        <v>Slow</v>
      </c>
      <c r="X73" s="43"/>
      <c r="Y73" s="43"/>
      <c r="Z73" s="43"/>
      <c r="AA73" s="43"/>
      <c r="AB73" s="43"/>
      <c r="AC73" s="43"/>
      <c r="AD73" s="43"/>
    </row>
    <row r="74" spans="1:30">
      <c r="A74" s="40" t="s">
        <v>261</v>
      </c>
      <c r="B74" s="41">
        <v>45129</v>
      </c>
      <c r="C74" s="42" t="s">
        <v>104</v>
      </c>
      <c r="D74" s="41"/>
      <c r="E74" s="41">
        <v>45132</v>
      </c>
      <c r="F74" s="40" t="s">
        <v>162</v>
      </c>
      <c r="G74" s="40" t="s">
        <v>163</v>
      </c>
      <c r="H74" s="40" t="s">
        <v>67</v>
      </c>
      <c r="I74" s="40" t="s">
        <v>35</v>
      </c>
      <c r="J74" s="40" t="s">
        <v>36</v>
      </c>
      <c r="K74" s="40" t="s">
        <v>125</v>
      </c>
      <c r="L74" s="40" t="s">
        <v>38</v>
      </c>
      <c r="M74" s="40" t="s">
        <v>126</v>
      </c>
      <c r="N74" s="40" t="s">
        <v>79</v>
      </c>
      <c r="O74" s="48">
        <v>89</v>
      </c>
      <c r="P74" s="48">
        <v>95</v>
      </c>
      <c r="Q74" s="40">
        <v>2</v>
      </c>
      <c r="R74" s="48">
        <v>190</v>
      </c>
      <c r="S74" s="40" t="s">
        <v>70</v>
      </c>
      <c r="T74" s="40" t="s">
        <v>42</v>
      </c>
      <c r="U74" s="40" t="s">
        <v>71</v>
      </c>
      <c r="V74" s="51" t="str">
        <f t="shared" si="4"/>
        <v>Not Delivered</v>
      </c>
      <c r="W74" s="40" t="str">
        <f t="shared" si="5"/>
        <v>Cancelled Order</v>
      </c>
      <c r="X74" s="40"/>
      <c r="Y74" s="40"/>
      <c r="Z74" s="40"/>
      <c r="AA74" s="40"/>
      <c r="AB74" s="40"/>
      <c r="AC74" s="40"/>
      <c r="AD74" s="40"/>
    </row>
    <row r="75" spans="1:30">
      <c r="A75" s="43" t="s">
        <v>262</v>
      </c>
      <c r="B75" s="44">
        <v>44944</v>
      </c>
      <c r="C75" s="45" t="s">
        <v>173</v>
      </c>
      <c r="D75" s="44">
        <v>44950</v>
      </c>
      <c r="E75" s="44"/>
      <c r="F75" s="43" t="s">
        <v>159</v>
      </c>
      <c r="G75" s="43" t="s">
        <v>160</v>
      </c>
      <c r="H75" s="43" t="s">
        <v>90</v>
      </c>
      <c r="I75" s="43" t="s">
        <v>68</v>
      </c>
      <c r="J75" s="43" t="s">
        <v>69</v>
      </c>
      <c r="K75" s="43" t="s">
        <v>100</v>
      </c>
      <c r="L75" s="43" t="s">
        <v>92</v>
      </c>
      <c r="M75" s="43" t="s">
        <v>102</v>
      </c>
      <c r="N75" s="43" t="s">
        <v>40</v>
      </c>
      <c r="O75" s="50">
        <v>34</v>
      </c>
      <c r="P75" s="50">
        <v>36</v>
      </c>
      <c r="Q75" s="43">
        <v>4</v>
      </c>
      <c r="R75" s="50">
        <v>144</v>
      </c>
      <c r="S75" s="43" t="s">
        <v>41</v>
      </c>
      <c r="T75" s="43" t="s">
        <v>55</v>
      </c>
      <c r="U75" s="43" t="s">
        <v>121</v>
      </c>
      <c r="V75" s="52">
        <f t="shared" si="4"/>
        <v>6</v>
      </c>
      <c r="W75" s="43" t="str">
        <f t="shared" si="5"/>
        <v>Slow</v>
      </c>
      <c r="X75" s="43"/>
      <c r="Y75" s="43"/>
      <c r="Z75" s="43"/>
      <c r="AA75" s="43"/>
      <c r="AB75" s="43"/>
      <c r="AC75" s="43"/>
      <c r="AD75" s="43"/>
    </row>
    <row r="76" spans="1:30">
      <c r="A76" s="40" t="s">
        <v>263</v>
      </c>
      <c r="B76" s="41">
        <v>45070</v>
      </c>
      <c r="C76" s="42" t="s">
        <v>64</v>
      </c>
      <c r="D76" s="41"/>
      <c r="E76" s="41"/>
      <c r="F76" s="40" t="s">
        <v>88</v>
      </c>
      <c r="G76" s="40" t="s">
        <v>89</v>
      </c>
      <c r="H76" s="40" t="s">
        <v>90</v>
      </c>
      <c r="I76" s="40" t="s">
        <v>35</v>
      </c>
      <c r="J76" s="40" t="s">
        <v>36</v>
      </c>
      <c r="K76" s="40" t="s">
        <v>130</v>
      </c>
      <c r="L76" s="40" t="s">
        <v>51</v>
      </c>
      <c r="M76" s="40" t="s">
        <v>131</v>
      </c>
      <c r="N76" s="40" t="s">
        <v>94</v>
      </c>
      <c r="O76" s="48">
        <v>69</v>
      </c>
      <c r="P76" s="48">
        <v>73</v>
      </c>
      <c r="Q76" s="40">
        <v>5</v>
      </c>
      <c r="R76" s="48">
        <v>365</v>
      </c>
      <c r="S76" s="40" t="s">
        <v>41</v>
      </c>
      <c r="T76" s="40" t="s">
        <v>61</v>
      </c>
      <c r="U76" s="40" t="s">
        <v>43</v>
      </c>
      <c r="V76" s="51" t="str">
        <f t="shared" si="4"/>
        <v>Not Delivered</v>
      </c>
      <c r="W76" s="40" t="str">
        <f t="shared" si="5"/>
        <v>Slow</v>
      </c>
      <c r="X76" s="40"/>
      <c r="Y76" s="40"/>
      <c r="Z76" s="40"/>
      <c r="AA76" s="40"/>
      <c r="AB76" s="40"/>
      <c r="AC76" s="40"/>
      <c r="AD76" s="40"/>
    </row>
    <row r="77" spans="1:30">
      <c r="A77" s="43" t="s">
        <v>264</v>
      </c>
      <c r="B77" s="44">
        <v>45172</v>
      </c>
      <c r="C77" s="45" t="s">
        <v>214</v>
      </c>
      <c r="D77" s="44">
        <v>45178</v>
      </c>
      <c r="E77" s="44"/>
      <c r="F77" s="43" t="s">
        <v>123</v>
      </c>
      <c r="G77" s="43" t="s">
        <v>124</v>
      </c>
      <c r="H77" s="43" t="s">
        <v>34</v>
      </c>
      <c r="I77" s="43" t="s">
        <v>35</v>
      </c>
      <c r="J77" s="43" t="s">
        <v>36</v>
      </c>
      <c r="K77" s="43" t="s">
        <v>107</v>
      </c>
      <c r="L77" s="43" t="s">
        <v>38</v>
      </c>
      <c r="M77" s="43" t="s">
        <v>108</v>
      </c>
      <c r="N77" s="43" t="s">
        <v>79</v>
      </c>
      <c r="O77" s="50">
        <v>40</v>
      </c>
      <c r="P77" s="50">
        <v>43</v>
      </c>
      <c r="Q77" s="43">
        <v>4</v>
      </c>
      <c r="R77" s="50">
        <v>172</v>
      </c>
      <c r="S77" s="43" t="s">
        <v>95</v>
      </c>
      <c r="T77" s="43" t="s">
        <v>55</v>
      </c>
      <c r="U77" s="43" t="s">
        <v>43</v>
      </c>
      <c r="V77" s="52">
        <f t="shared" si="4"/>
        <v>6</v>
      </c>
      <c r="W77" s="43" t="str">
        <f t="shared" si="5"/>
        <v>Slow</v>
      </c>
      <c r="X77" s="43"/>
      <c r="Y77" s="43"/>
      <c r="Z77" s="43"/>
      <c r="AA77" s="43"/>
      <c r="AB77" s="43"/>
      <c r="AC77" s="43"/>
      <c r="AD77" s="43"/>
    </row>
    <row r="78" spans="1:30">
      <c r="A78" s="40" t="s">
        <v>265</v>
      </c>
      <c r="B78" s="41">
        <v>45232</v>
      </c>
      <c r="C78" s="42" t="s">
        <v>82</v>
      </c>
      <c r="D78" s="41">
        <v>45234</v>
      </c>
      <c r="E78" s="41"/>
      <c r="F78" s="40" t="s">
        <v>249</v>
      </c>
      <c r="G78" s="40" t="s">
        <v>89</v>
      </c>
      <c r="H78" s="40" t="s">
        <v>90</v>
      </c>
      <c r="I78" s="40" t="s">
        <v>180</v>
      </c>
      <c r="J78" s="40" t="s">
        <v>181</v>
      </c>
      <c r="K78" s="40" t="s">
        <v>201</v>
      </c>
      <c r="L78" s="40" t="s">
        <v>101</v>
      </c>
      <c r="M78" s="40" t="s">
        <v>202</v>
      </c>
      <c r="N78" s="40" t="s">
        <v>40</v>
      </c>
      <c r="O78" s="48">
        <v>199</v>
      </c>
      <c r="P78" s="48">
        <v>214</v>
      </c>
      <c r="Q78" s="40">
        <v>5</v>
      </c>
      <c r="R78" s="48">
        <v>1070</v>
      </c>
      <c r="S78" s="40" t="s">
        <v>95</v>
      </c>
      <c r="T78" s="40" t="s">
        <v>55</v>
      </c>
      <c r="U78" s="40" t="s">
        <v>71</v>
      </c>
      <c r="V78" s="51">
        <f t="shared" si="4"/>
        <v>2</v>
      </c>
      <c r="W78" s="40" t="str">
        <f t="shared" si="5"/>
        <v>Fast</v>
      </c>
      <c r="X78" s="40"/>
      <c r="Y78" s="40"/>
      <c r="Z78" s="40"/>
      <c r="AA78" s="40"/>
      <c r="AB78" s="40"/>
      <c r="AC78" s="40"/>
      <c r="AD78" s="40"/>
    </row>
    <row r="79" spans="1:30">
      <c r="A79" s="43" t="s">
        <v>266</v>
      </c>
      <c r="B79" s="44">
        <v>45263</v>
      </c>
      <c r="C79" s="45" t="s">
        <v>31</v>
      </c>
      <c r="D79" s="44"/>
      <c r="E79" s="44">
        <v>45266</v>
      </c>
      <c r="F79" s="43" t="s">
        <v>251</v>
      </c>
      <c r="G79" s="43" t="s">
        <v>89</v>
      </c>
      <c r="H79" s="43" t="s">
        <v>67</v>
      </c>
      <c r="I79" s="43" t="s">
        <v>115</v>
      </c>
      <c r="J79" s="43" t="s">
        <v>116</v>
      </c>
      <c r="K79" s="43" t="s">
        <v>167</v>
      </c>
      <c r="L79" s="43" t="s">
        <v>92</v>
      </c>
      <c r="M79" s="43" t="s">
        <v>168</v>
      </c>
      <c r="N79" s="43" t="s">
        <v>53</v>
      </c>
      <c r="O79" s="50">
        <v>39</v>
      </c>
      <c r="P79" s="50">
        <v>42</v>
      </c>
      <c r="Q79" s="43">
        <v>2</v>
      </c>
      <c r="R79" s="50">
        <v>84</v>
      </c>
      <c r="S79" s="43" t="s">
        <v>41</v>
      </c>
      <c r="T79" s="43" t="s">
        <v>42</v>
      </c>
      <c r="U79" s="43" t="s">
        <v>71</v>
      </c>
      <c r="V79" s="52" t="str">
        <f t="shared" si="4"/>
        <v>Not Delivered</v>
      </c>
      <c r="W79" s="43" t="str">
        <f t="shared" si="5"/>
        <v>Cancelled Order</v>
      </c>
      <c r="X79" s="43"/>
      <c r="Y79" s="43"/>
      <c r="Z79" s="43"/>
      <c r="AA79" s="43"/>
      <c r="AB79" s="43"/>
      <c r="AC79" s="43"/>
      <c r="AD79" s="43"/>
    </row>
    <row r="80" spans="1:30">
      <c r="A80" s="40" t="s">
        <v>267</v>
      </c>
      <c r="B80" s="41">
        <v>45017</v>
      </c>
      <c r="C80" s="42" t="s">
        <v>97</v>
      </c>
      <c r="D80" s="41"/>
      <c r="E80" s="41"/>
      <c r="F80" s="40" t="s">
        <v>251</v>
      </c>
      <c r="G80" s="40" t="s">
        <v>89</v>
      </c>
      <c r="H80" s="40" t="s">
        <v>67</v>
      </c>
      <c r="I80" s="40" t="s">
        <v>115</v>
      </c>
      <c r="J80" s="40" t="s">
        <v>116</v>
      </c>
      <c r="K80" s="40" t="s">
        <v>37</v>
      </c>
      <c r="L80" s="40" t="s">
        <v>38</v>
      </c>
      <c r="M80" s="40" t="s">
        <v>39</v>
      </c>
      <c r="N80" s="40" t="s">
        <v>40</v>
      </c>
      <c r="O80" s="48">
        <v>42</v>
      </c>
      <c r="P80" s="48">
        <v>46</v>
      </c>
      <c r="Q80" s="40">
        <v>1</v>
      </c>
      <c r="R80" s="48">
        <v>46</v>
      </c>
      <c r="S80" s="40" t="s">
        <v>85</v>
      </c>
      <c r="T80" s="40" t="s">
        <v>61</v>
      </c>
      <c r="U80" s="40" t="s">
        <v>71</v>
      </c>
      <c r="V80" s="51" t="str">
        <f t="shared" si="4"/>
        <v>Not Delivered</v>
      </c>
      <c r="W80" s="40" t="str">
        <f t="shared" si="5"/>
        <v>Slow</v>
      </c>
      <c r="X80" s="40"/>
      <c r="Y80" s="40"/>
      <c r="Z80" s="40"/>
      <c r="AA80" s="40"/>
      <c r="AB80" s="40"/>
      <c r="AC80" s="40"/>
      <c r="AD80" s="40"/>
    </row>
    <row r="81" spans="1:30">
      <c r="A81" s="43" t="s">
        <v>268</v>
      </c>
      <c r="B81" s="44">
        <v>45215</v>
      </c>
      <c r="C81" s="45" t="s">
        <v>57</v>
      </c>
      <c r="D81" s="44">
        <v>45218</v>
      </c>
      <c r="E81" s="44"/>
      <c r="F81" s="43" t="s">
        <v>196</v>
      </c>
      <c r="G81" s="43" t="s">
        <v>197</v>
      </c>
      <c r="H81" s="43" t="s">
        <v>67</v>
      </c>
      <c r="I81" s="43" t="s">
        <v>35</v>
      </c>
      <c r="J81" s="43" t="s">
        <v>36</v>
      </c>
      <c r="K81" s="43" t="s">
        <v>50</v>
      </c>
      <c r="L81" s="43" t="s">
        <v>51</v>
      </c>
      <c r="M81" s="43" t="s">
        <v>52</v>
      </c>
      <c r="N81" s="43" t="s">
        <v>53</v>
      </c>
      <c r="O81" s="50">
        <v>89</v>
      </c>
      <c r="P81" s="50">
        <v>95</v>
      </c>
      <c r="Q81" s="43">
        <v>4</v>
      </c>
      <c r="R81" s="50">
        <v>380</v>
      </c>
      <c r="S81" s="43" t="s">
        <v>54</v>
      </c>
      <c r="T81" s="43" t="s">
        <v>55</v>
      </c>
      <c r="U81" s="43" t="s">
        <v>71</v>
      </c>
      <c r="V81" s="52">
        <f t="shared" si="4"/>
        <v>3</v>
      </c>
      <c r="W81" s="43" t="str">
        <f t="shared" si="5"/>
        <v>Slow</v>
      </c>
      <c r="X81" s="43"/>
      <c r="Y81" s="43"/>
      <c r="Z81" s="43"/>
      <c r="AA81" s="43"/>
      <c r="AB81" s="43"/>
      <c r="AC81" s="43"/>
      <c r="AD81" s="43"/>
    </row>
    <row r="82" spans="1:30">
      <c r="A82" s="40" t="s">
        <v>269</v>
      </c>
      <c r="B82" s="41">
        <v>45235</v>
      </c>
      <c r="C82" s="42" t="s">
        <v>82</v>
      </c>
      <c r="D82" s="41"/>
      <c r="E82" s="41"/>
      <c r="F82" s="40" t="s">
        <v>215</v>
      </c>
      <c r="G82" s="40" t="s">
        <v>216</v>
      </c>
      <c r="H82" s="40" t="s">
        <v>67</v>
      </c>
      <c r="I82" s="40" t="s">
        <v>217</v>
      </c>
      <c r="J82" s="40" t="s">
        <v>217</v>
      </c>
      <c r="K82" s="40" t="s">
        <v>198</v>
      </c>
      <c r="L82" s="40" t="s">
        <v>101</v>
      </c>
      <c r="M82" s="40" t="s">
        <v>199</v>
      </c>
      <c r="N82" s="40" t="s">
        <v>94</v>
      </c>
      <c r="O82" s="48">
        <v>159</v>
      </c>
      <c r="P82" s="48">
        <v>174</v>
      </c>
      <c r="Q82" s="40">
        <v>2</v>
      </c>
      <c r="R82" s="48">
        <v>348</v>
      </c>
      <c r="S82" s="40" t="s">
        <v>70</v>
      </c>
      <c r="T82" s="40" t="s">
        <v>61</v>
      </c>
      <c r="U82" s="40" t="s">
        <v>71</v>
      </c>
      <c r="V82" s="51" t="str">
        <f t="shared" si="4"/>
        <v>Not Delivered</v>
      </c>
      <c r="W82" s="40" t="str">
        <f t="shared" si="5"/>
        <v>Slow</v>
      </c>
      <c r="X82" s="40"/>
      <c r="Y82" s="40"/>
      <c r="Z82" s="40"/>
      <c r="AA82" s="40"/>
      <c r="AB82" s="40"/>
      <c r="AC82" s="40"/>
      <c r="AD82" s="40"/>
    </row>
    <row r="83" spans="1:30">
      <c r="A83" s="43" t="s">
        <v>270</v>
      </c>
      <c r="B83" s="44">
        <v>45092</v>
      </c>
      <c r="C83" s="45" t="s">
        <v>139</v>
      </c>
      <c r="D83" s="44"/>
      <c r="E83" s="44">
        <v>45095</v>
      </c>
      <c r="F83" s="43" t="s">
        <v>113</v>
      </c>
      <c r="G83" s="43" t="s">
        <v>114</v>
      </c>
      <c r="H83" s="43" t="s">
        <v>90</v>
      </c>
      <c r="I83" s="43" t="s">
        <v>115</v>
      </c>
      <c r="J83" s="43" t="s">
        <v>116</v>
      </c>
      <c r="K83" s="43" t="s">
        <v>133</v>
      </c>
      <c r="L83" s="43" t="s">
        <v>38</v>
      </c>
      <c r="M83" s="43" t="s">
        <v>134</v>
      </c>
      <c r="N83" s="43" t="s">
        <v>79</v>
      </c>
      <c r="O83" s="50">
        <v>25</v>
      </c>
      <c r="P83" s="50">
        <v>27</v>
      </c>
      <c r="Q83" s="43">
        <v>5</v>
      </c>
      <c r="R83" s="50">
        <v>135</v>
      </c>
      <c r="S83" s="43" t="s">
        <v>54</v>
      </c>
      <c r="T83" s="43" t="s">
        <v>42</v>
      </c>
      <c r="U83" s="43" t="s">
        <v>80</v>
      </c>
      <c r="V83" s="52" t="str">
        <f t="shared" si="4"/>
        <v>Not Delivered</v>
      </c>
      <c r="W83" s="43" t="str">
        <f t="shared" si="5"/>
        <v>Cancelled Order</v>
      </c>
      <c r="X83" s="43"/>
      <c r="Y83" s="43"/>
      <c r="Z83" s="43"/>
      <c r="AA83" s="43"/>
      <c r="AB83" s="43"/>
      <c r="AC83" s="43"/>
      <c r="AD83" s="43"/>
    </row>
    <row r="84" spans="1:30">
      <c r="A84" s="40" t="s">
        <v>271</v>
      </c>
      <c r="B84" s="41">
        <v>45227</v>
      </c>
      <c r="C84" s="42" t="s">
        <v>57</v>
      </c>
      <c r="D84" s="41">
        <v>45229</v>
      </c>
      <c r="E84" s="41"/>
      <c r="F84" s="40" t="s">
        <v>32</v>
      </c>
      <c r="G84" s="40" t="s">
        <v>33</v>
      </c>
      <c r="H84" s="40" t="s">
        <v>34</v>
      </c>
      <c r="I84" s="40" t="s">
        <v>35</v>
      </c>
      <c r="J84" s="40" t="s">
        <v>36</v>
      </c>
      <c r="K84" s="40" t="s">
        <v>133</v>
      </c>
      <c r="L84" s="40" t="s">
        <v>59</v>
      </c>
      <c r="M84" s="40" t="s">
        <v>134</v>
      </c>
      <c r="N84" s="40" t="s">
        <v>79</v>
      </c>
      <c r="O84" s="48">
        <v>25</v>
      </c>
      <c r="P84" s="48">
        <v>27</v>
      </c>
      <c r="Q84" s="40">
        <v>4</v>
      </c>
      <c r="R84" s="48">
        <v>108</v>
      </c>
      <c r="S84" s="40" t="s">
        <v>70</v>
      </c>
      <c r="T84" s="40" t="s">
        <v>55</v>
      </c>
      <c r="U84" s="40" t="s">
        <v>62</v>
      </c>
      <c r="V84" s="51">
        <f t="shared" si="4"/>
        <v>2</v>
      </c>
      <c r="W84" s="40" t="str">
        <f t="shared" si="5"/>
        <v>Fast</v>
      </c>
      <c r="X84" s="40"/>
      <c r="Y84" s="40"/>
      <c r="Z84" s="40"/>
      <c r="AA84" s="40"/>
      <c r="AB84" s="40"/>
      <c r="AC84" s="40"/>
      <c r="AD84" s="40"/>
    </row>
    <row r="85" spans="1:30">
      <c r="A85" s="43" t="s">
        <v>272</v>
      </c>
      <c r="B85" s="44">
        <v>45282</v>
      </c>
      <c r="C85" s="45" t="s">
        <v>31</v>
      </c>
      <c r="D85" s="44"/>
      <c r="E85" s="44"/>
      <c r="F85" s="43" t="s">
        <v>273</v>
      </c>
      <c r="G85" s="43" t="s">
        <v>47</v>
      </c>
      <c r="H85" s="43" t="s">
        <v>34</v>
      </c>
      <c r="I85" s="43" t="s">
        <v>68</v>
      </c>
      <c r="J85" s="43" t="s">
        <v>69</v>
      </c>
      <c r="K85" s="43" t="s">
        <v>170</v>
      </c>
      <c r="L85" s="43" t="s">
        <v>59</v>
      </c>
      <c r="M85" s="43" t="s">
        <v>171</v>
      </c>
      <c r="N85" s="43" t="s">
        <v>79</v>
      </c>
      <c r="O85" s="50">
        <v>60</v>
      </c>
      <c r="P85" s="50">
        <v>65</v>
      </c>
      <c r="Q85" s="43">
        <v>2</v>
      </c>
      <c r="R85" s="50">
        <v>130</v>
      </c>
      <c r="S85" s="43" t="s">
        <v>70</v>
      </c>
      <c r="T85" s="43" t="s">
        <v>61</v>
      </c>
      <c r="U85" s="43" t="s">
        <v>43</v>
      </c>
      <c r="V85" s="52" t="str">
        <f t="shared" si="4"/>
        <v>Not Delivered</v>
      </c>
      <c r="W85" s="43" t="str">
        <f t="shared" si="5"/>
        <v>Slow</v>
      </c>
      <c r="X85" s="43"/>
      <c r="Y85" s="43"/>
      <c r="Z85" s="43"/>
      <c r="AA85" s="43"/>
      <c r="AB85" s="43"/>
      <c r="AC85" s="43"/>
      <c r="AD85" s="43"/>
    </row>
    <row r="86" spans="1:30">
      <c r="A86" s="40" t="s">
        <v>274</v>
      </c>
      <c r="B86" s="41">
        <v>44992</v>
      </c>
      <c r="C86" s="42" t="s">
        <v>187</v>
      </c>
      <c r="D86" s="41"/>
      <c r="E86" s="41"/>
      <c r="F86" s="40" t="s">
        <v>120</v>
      </c>
      <c r="G86" s="40" t="s">
        <v>114</v>
      </c>
      <c r="H86" s="40" t="s">
        <v>34</v>
      </c>
      <c r="I86" s="40" t="s">
        <v>35</v>
      </c>
      <c r="J86" s="40" t="s">
        <v>36</v>
      </c>
      <c r="K86" s="40" t="s">
        <v>107</v>
      </c>
      <c r="L86" s="40" t="s">
        <v>51</v>
      </c>
      <c r="M86" s="40" t="s">
        <v>108</v>
      </c>
      <c r="N86" s="40" t="s">
        <v>79</v>
      </c>
      <c r="O86" s="48">
        <v>40</v>
      </c>
      <c r="P86" s="48">
        <v>43</v>
      </c>
      <c r="Q86" s="40">
        <v>5</v>
      </c>
      <c r="R86" s="48">
        <v>215</v>
      </c>
      <c r="S86" s="40" t="s">
        <v>95</v>
      </c>
      <c r="T86" s="40" t="s">
        <v>61</v>
      </c>
      <c r="U86" s="40" t="s">
        <v>43</v>
      </c>
      <c r="V86" s="51" t="str">
        <f t="shared" si="4"/>
        <v>Not Delivered</v>
      </c>
      <c r="W86" s="40" t="str">
        <f t="shared" si="5"/>
        <v>Slow</v>
      </c>
      <c r="X86" s="40"/>
      <c r="Y86" s="40"/>
      <c r="Z86" s="40"/>
      <c r="AA86" s="40"/>
      <c r="AB86" s="40"/>
      <c r="AC86" s="40"/>
      <c r="AD86" s="40"/>
    </row>
    <row r="87" spans="1:30">
      <c r="A87" s="43" t="s">
        <v>275</v>
      </c>
      <c r="B87" s="44">
        <v>45240</v>
      </c>
      <c r="C87" s="45" t="s">
        <v>82</v>
      </c>
      <c r="D87" s="44"/>
      <c r="E87" s="44"/>
      <c r="F87" s="43" t="s">
        <v>178</v>
      </c>
      <c r="G87" s="43" t="s">
        <v>179</v>
      </c>
      <c r="H87" s="43" t="s">
        <v>90</v>
      </c>
      <c r="I87" s="43" t="s">
        <v>180</v>
      </c>
      <c r="J87" s="43" t="s">
        <v>181</v>
      </c>
      <c r="K87" s="43" t="s">
        <v>201</v>
      </c>
      <c r="L87" s="43" t="s">
        <v>101</v>
      </c>
      <c r="M87" s="43" t="s">
        <v>202</v>
      </c>
      <c r="N87" s="43" t="s">
        <v>40</v>
      </c>
      <c r="O87" s="50">
        <v>199</v>
      </c>
      <c r="P87" s="50">
        <v>210</v>
      </c>
      <c r="Q87" s="43">
        <v>1</v>
      </c>
      <c r="R87" s="50">
        <v>210</v>
      </c>
      <c r="S87" s="43" t="s">
        <v>70</v>
      </c>
      <c r="T87" s="43" t="s">
        <v>61</v>
      </c>
      <c r="U87" s="43" t="s">
        <v>71</v>
      </c>
      <c r="V87" s="52" t="str">
        <f t="shared" si="4"/>
        <v>Not Delivered</v>
      </c>
      <c r="W87" s="43" t="str">
        <f t="shared" si="5"/>
        <v>Slow</v>
      </c>
      <c r="X87" s="43"/>
      <c r="Y87" s="43"/>
      <c r="Z87" s="43"/>
      <c r="AA87" s="43"/>
      <c r="AB87" s="43"/>
      <c r="AC87" s="43"/>
      <c r="AD87" s="43"/>
    </row>
    <row r="88" spans="1:30">
      <c r="A88" s="40" t="s">
        <v>276</v>
      </c>
      <c r="B88" s="41">
        <v>45252</v>
      </c>
      <c r="C88" s="42" t="s">
        <v>82</v>
      </c>
      <c r="D88" s="41"/>
      <c r="E88" s="41"/>
      <c r="F88" s="40" t="s">
        <v>277</v>
      </c>
      <c r="G88" s="40" t="s">
        <v>278</v>
      </c>
      <c r="H88" s="40" t="s">
        <v>34</v>
      </c>
      <c r="I88" s="40" t="s">
        <v>75</v>
      </c>
      <c r="J88" s="40" t="s">
        <v>76</v>
      </c>
      <c r="K88" s="40" t="s">
        <v>100</v>
      </c>
      <c r="L88" s="40" t="s">
        <v>59</v>
      </c>
      <c r="M88" s="40" t="s">
        <v>102</v>
      </c>
      <c r="N88" s="40" t="s">
        <v>40</v>
      </c>
      <c r="O88" s="48">
        <v>34</v>
      </c>
      <c r="P88" s="48">
        <v>37</v>
      </c>
      <c r="Q88" s="40">
        <v>3</v>
      </c>
      <c r="R88" s="48">
        <v>111</v>
      </c>
      <c r="S88" s="40" t="s">
        <v>54</v>
      </c>
      <c r="T88" s="40" t="s">
        <v>61</v>
      </c>
      <c r="U88" s="40" t="s">
        <v>71</v>
      </c>
      <c r="V88" s="51" t="str">
        <f t="shared" si="4"/>
        <v>Not Delivered</v>
      </c>
      <c r="W88" s="40" t="str">
        <f t="shared" si="5"/>
        <v>Slow</v>
      </c>
      <c r="X88" s="40"/>
      <c r="Y88" s="40"/>
      <c r="Z88" s="40"/>
      <c r="AA88" s="40"/>
      <c r="AB88" s="40"/>
      <c r="AC88" s="40"/>
      <c r="AD88" s="40"/>
    </row>
    <row r="89" spans="1:30">
      <c r="A89" s="43" t="s">
        <v>279</v>
      </c>
      <c r="B89" s="44">
        <v>45054</v>
      </c>
      <c r="C89" s="45" t="s">
        <v>64</v>
      </c>
      <c r="D89" s="44"/>
      <c r="E89" s="44"/>
      <c r="F89" s="43" t="s">
        <v>178</v>
      </c>
      <c r="G89" s="43" t="s">
        <v>179</v>
      </c>
      <c r="H89" s="43" t="s">
        <v>90</v>
      </c>
      <c r="I89" s="43" t="s">
        <v>180</v>
      </c>
      <c r="J89" s="43" t="s">
        <v>181</v>
      </c>
      <c r="K89" s="43" t="s">
        <v>154</v>
      </c>
      <c r="L89" s="43" t="s">
        <v>59</v>
      </c>
      <c r="M89" s="43" t="s">
        <v>155</v>
      </c>
      <c r="N89" s="43" t="s">
        <v>94</v>
      </c>
      <c r="O89" s="50">
        <v>749</v>
      </c>
      <c r="P89" s="50">
        <v>788</v>
      </c>
      <c r="Q89" s="43">
        <v>4</v>
      </c>
      <c r="R89" s="50">
        <v>3152</v>
      </c>
      <c r="S89" s="43" t="s">
        <v>95</v>
      </c>
      <c r="T89" s="43" t="s">
        <v>61</v>
      </c>
      <c r="U89" s="43" t="s">
        <v>80</v>
      </c>
      <c r="V89" s="52" t="str">
        <f t="shared" si="4"/>
        <v>Not Delivered</v>
      </c>
      <c r="W89" s="43" t="str">
        <f t="shared" si="5"/>
        <v>Slow</v>
      </c>
      <c r="X89" s="43"/>
      <c r="Y89" s="43"/>
      <c r="Z89" s="43"/>
      <c r="AA89" s="43"/>
      <c r="AB89" s="43"/>
      <c r="AC89" s="43"/>
      <c r="AD89" s="43"/>
    </row>
    <row r="90" spans="1:30">
      <c r="A90" s="40" t="s">
        <v>280</v>
      </c>
      <c r="B90" s="41">
        <v>45120</v>
      </c>
      <c r="C90" s="42" t="s">
        <v>104</v>
      </c>
      <c r="D90" s="41"/>
      <c r="E90" s="41"/>
      <c r="F90" s="40" t="s">
        <v>178</v>
      </c>
      <c r="G90" s="40" t="s">
        <v>179</v>
      </c>
      <c r="H90" s="40" t="s">
        <v>90</v>
      </c>
      <c r="I90" s="40" t="s">
        <v>180</v>
      </c>
      <c r="J90" s="40" t="s">
        <v>181</v>
      </c>
      <c r="K90" s="40" t="s">
        <v>201</v>
      </c>
      <c r="L90" s="40" t="s">
        <v>101</v>
      </c>
      <c r="M90" s="40" t="s">
        <v>202</v>
      </c>
      <c r="N90" s="40" t="s">
        <v>40</v>
      </c>
      <c r="O90" s="48">
        <v>199</v>
      </c>
      <c r="P90" s="48">
        <v>217</v>
      </c>
      <c r="Q90" s="40">
        <v>5</v>
      </c>
      <c r="R90" s="48">
        <v>1085</v>
      </c>
      <c r="S90" s="40" t="s">
        <v>95</v>
      </c>
      <c r="T90" s="40" t="s">
        <v>61</v>
      </c>
      <c r="U90" s="40" t="s">
        <v>121</v>
      </c>
      <c r="V90" s="51" t="str">
        <f t="shared" si="4"/>
        <v>Not Delivered</v>
      </c>
      <c r="W90" s="40" t="str">
        <f t="shared" si="5"/>
        <v>Slow</v>
      </c>
      <c r="X90" s="40"/>
      <c r="Y90" s="40"/>
      <c r="Z90" s="40"/>
      <c r="AA90" s="40"/>
      <c r="AB90" s="40"/>
      <c r="AC90" s="40"/>
      <c r="AD90" s="40"/>
    </row>
    <row r="91" spans="1:30">
      <c r="A91" s="43" t="s">
        <v>281</v>
      </c>
      <c r="B91" s="44">
        <v>44944</v>
      </c>
      <c r="C91" s="45" t="s">
        <v>173</v>
      </c>
      <c r="D91" s="44"/>
      <c r="E91" s="44"/>
      <c r="F91" s="43" t="s">
        <v>178</v>
      </c>
      <c r="G91" s="43" t="s">
        <v>179</v>
      </c>
      <c r="H91" s="43" t="s">
        <v>90</v>
      </c>
      <c r="I91" s="43" t="s">
        <v>180</v>
      </c>
      <c r="J91" s="43" t="s">
        <v>181</v>
      </c>
      <c r="K91" s="43" t="s">
        <v>110</v>
      </c>
      <c r="L91" s="43" t="s">
        <v>101</v>
      </c>
      <c r="M91" s="43" t="s">
        <v>111</v>
      </c>
      <c r="N91" s="43" t="s">
        <v>40</v>
      </c>
      <c r="O91" s="50">
        <v>129</v>
      </c>
      <c r="P91" s="50">
        <v>138</v>
      </c>
      <c r="Q91" s="43">
        <v>4</v>
      </c>
      <c r="R91" s="50">
        <v>552</v>
      </c>
      <c r="S91" s="43" t="s">
        <v>54</v>
      </c>
      <c r="T91" s="43" t="s">
        <v>61</v>
      </c>
      <c r="U91" s="43" t="s">
        <v>121</v>
      </c>
      <c r="V91" s="52" t="str">
        <f t="shared" si="4"/>
        <v>Not Delivered</v>
      </c>
      <c r="W91" s="43" t="str">
        <f t="shared" si="5"/>
        <v>Slow</v>
      </c>
      <c r="X91" s="43"/>
      <c r="Y91" s="43"/>
      <c r="Z91" s="43"/>
      <c r="AA91" s="43"/>
      <c r="AB91" s="43"/>
      <c r="AC91" s="43"/>
      <c r="AD91" s="43"/>
    </row>
    <row r="92" spans="1:30">
      <c r="A92" s="40" t="s">
        <v>282</v>
      </c>
      <c r="B92" s="41">
        <v>45100</v>
      </c>
      <c r="C92" s="42" t="s">
        <v>139</v>
      </c>
      <c r="D92" s="41">
        <v>45106</v>
      </c>
      <c r="E92" s="41"/>
      <c r="F92" s="40" t="s">
        <v>283</v>
      </c>
      <c r="G92" s="40" t="s">
        <v>284</v>
      </c>
      <c r="H92" s="40" t="s">
        <v>67</v>
      </c>
      <c r="I92" s="40" t="s">
        <v>75</v>
      </c>
      <c r="J92" s="40" t="s">
        <v>76</v>
      </c>
      <c r="K92" s="40" t="s">
        <v>154</v>
      </c>
      <c r="L92" s="40" t="s">
        <v>92</v>
      </c>
      <c r="M92" s="40" t="s">
        <v>155</v>
      </c>
      <c r="N92" s="40" t="s">
        <v>94</v>
      </c>
      <c r="O92" s="48">
        <v>749</v>
      </c>
      <c r="P92" s="48">
        <v>803</v>
      </c>
      <c r="Q92" s="40">
        <v>2</v>
      </c>
      <c r="R92" s="48">
        <v>1606</v>
      </c>
      <c r="S92" s="40" t="s">
        <v>41</v>
      </c>
      <c r="T92" s="40" t="s">
        <v>55</v>
      </c>
      <c r="U92" s="40" t="s">
        <v>121</v>
      </c>
      <c r="V92" s="51">
        <f t="shared" si="4"/>
        <v>6</v>
      </c>
      <c r="W92" s="40" t="str">
        <f t="shared" si="5"/>
        <v>Slow</v>
      </c>
      <c r="X92" s="40"/>
      <c r="Y92" s="40"/>
      <c r="Z92" s="40"/>
      <c r="AA92" s="40"/>
      <c r="AB92" s="40"/>
      <c r="AC92" s="40"/>
      <c r="AD92" s="40"/>
    </row>
    <row r="93" spans="1:30">
      <c r="A93" s="43" t="s">
        <v>285</v>
      </c>
      <c r="B93" s="44">
        <v>44978</v>
      </c>
      <c r="C93" s="45" t="s">
        <v>45</v>
      </c>
      <c r="D93" s="44"/>
      <c r="E93" s="44">
        <v>44982</v>
      </c>
      <c r="F93" s="43" t="s">
        <v>105</v>
      </c>
      <c r="G93" s="43" t="s">
        <v>106</v>
      </c>
      <c r="H93" s="43" t="s">
        <v>90</v>
      </c>
      <c r="I93" s="43" t="s">
        <v>75</v>
      </c>
      <c r="J93" s="43" t="s">
        <v>76</v>
      </c>
      <c r="K93" s="43" t="s">
        <v>117</v>
      </c>
      <c r="L93" s="43" t="s">
        <v>38</v>
      </c>
      <c r="M93" s="43" t="s">
        <v>118</v>
      </c>
      <c r="N93" s="43" t="s">
        <v>94</v>
      </c>
      <c r="O93" s="50">
        <v>229</v>
      </c>
      <c r="P93" s="50">
        <v>248</v>
      </c>
      <c r="Q93" s="43">
        <v>5</v>
      </c>
      <c r="R93" s="50">
        <v>1240</v>
      </c>
      <c r="S93" s="43" t="s">
        <v>70</v>
      </c>
      <c r="T93" s="43" t="s">
        <v>42</v>
      </c>
      <c r="U93" s="43" t="s">
        <v>71</v>
      </c>
      <c r="V93" s="52" t="str">
        <f t="shared" si="4"/>
        <v>Not Delivered</v>
      </c>
      <c r="W93" s="43" t="str">
        <f t="shared" si="5"/>
        <v>Cancelled Order</v>
      </c>
      <c r="X93" s="43"/>
      <c r="Y93" s="43"/>
      <c r="Z93" s="43"/>
      <c r="AA93" s="43"/>
      <c r="AB93" s="43"/>
      <c r="AC93" s="43"/>
      <c r="AD93" s="43"/>
    </row>
    <row r="94" spans="1:30">
      <c r="A94" s="40" t="s">
        <v>286</v>
      </c>
      <c r="B94" s="41">
        <v>44976</v>
      </c>
      <c r="C94" s="42" t="s">
        <v>45</v>
      </c>
      <c r="D94" s="41">
        <v>44978</v>
      </c>
      <c r="E94" s="41"/>
      <c r="F94" s="40" t="s">
        <v>287</v>
      </c>
      <c r="G94" s="40" t="s">
        <v>241</v>
      </c>
      <c r="H94" s="40" t="s">
        <v>67</v>
      </c>
      <c r="I94" s="40" t="s">
        <v>115</v>
      </c>
      <c r="J94" s="40" t="s">
        <v>116</v>
      </c>
      <c r="K94" s="40" t="s">
        <v>201</v>
      </c>
      <c r="L94" s="40" t="s">
        <v>51</v>
      </c>
      <c r="M94" s="40" t="s">
        <v>202</v>
      </c>
      <c r="N94" s="40" t="s">
        <v>40</v>
      </c>
      <c r="O94" s="48">
        <v>199</v>
      </c>
      <c r="P94" s="48">
        <v>210</v>
      </c>
      <c r="Q94" s="40">
        <v>3</v>
      </c>
      <c r="R94" s="48">
        <v>630</v>
      </c>
      <c r="S94" s="40" t="s">
        <v>41</v>
      </c>
      <c r="T94" s="40" t="s">
        <v>55</v>
      </c>
      <c r="U94" s="40" t="s">
        <v>43</v>
      </c>
      <c r="V94" s="51">
        <f t="shared" si="4"/>
        <v>2</v>
      </c>
      <c r="W94" s="40" t="str">
        <f t="shared" si="5"/>
        <v>Fast</v>
      </c>
      <c r="X94" s="40"/>
      <c r="Y94" s="40"/>
      <c r="Z94" s="40"/>
      <c r="AA94" s="40"/>
      <c r="AB94" s="40"/>
      <c r="AC94" s="40"/>
      <c r="AD94" s="40"/>
    </row>
    <row r="95" spans="1:30">
      <c r="A95" s="43" t="s">
        <v>288</v>
      </c>
      <c r="B95" s="44">
        <v>45265</v>
      </c>
      <c r="C95" s="45" t="s">
        <v>31</v>
      </c>
      <c r="D95" s="44"/>
      <c r="E95" s="44">
        <v>45272</v>
      </c>
      <c r="F95" s="43" t="s">
        <v>105</v>
      </c>
      <c r="G95" s="43" t="s">
        <v>106</v>
      </c>
      <c r="H95" s="43" t="s">
        <v>90</v>
      </c>
      <c r="I95" s="43" t="s">
        <v>75</v>
      </c>
      <c r="J95" s="43" t="s">
        <v>76</v>
      </c>
      <c r="K95" s="43" t="s">
        <v>211</v>
      </c>
      <c r="L95" s="43" t="s">
        <v>38</v>
      </c>
      <c r="M95" s="43" t="s">
        <v>212</v>
      </c>
      <c r="N95" s="43" t="s">
        <v>53</v>
      </c>
      <c r="O95" s="50">
        <v>59</v>
      </c>
      <c r="P95" s="50">
        <v>62</v>
      </c>
      <c r="Q95" s="43">
        <v>2</v>
      </c>
      <c r="R95" s="50">
        <v>124</v>
      </c>
      <c r="S95" s="43" t="s">
        <v>54</v>
      </c>
      <c r="T95" s="43" t="s">
        <v>42</v>
      </c>
      <c r="U95" s="43" t="s">
        <v>121</v>
      </c>
      <c r="V95" s="52" t="str">
        <f t="shared" si="4"/>
        <v>Not Delivered</v>
      </c>
      <c r="W95" s="43" t="str">
        <f t="shared" si="5"/>
        <v>Cancelled Order</v>
      </c>
      <c r="X95" s="43"/>
      <c r="Y95" s="43"/>
      <c r="Z95" s="43"/>
      <c r="AA95" s="43"/>
      <c r="AB95" s="43"/>
      <c r="AC95" s="43"/>
      <c r="AD95" s="43"/>
    </row>
    <row r="96" spans="1:30">
      <c r="A96" s="40" t="s">
        <v>289</v>
      </c>
      <c r="B96" s="41">
        <v>45084</v>
      </c>
      <c r="C96" s="42" t="s">
        <v>139</v>
      </c>
      <c r="D96" s="41"/>
      <c r="E96" s="41">
        <v>45089</v>
      </c>
      <c r="F96" s="40" t="s">
        <v>277</v>
      </c>
      <c r="G96" s="40" t="s">
        <v>278</v>
      </c>
      <c r="H96" s="40" t="s">
        <v>34</v>
      </c>
      <c r="I96" s="40" t="s">
        <v>75</v>
      </c>
      <c r="J96" s="40" t="s">
        <v>76</v>
      </c>
      <c r="K96" s="40" t="s">
        <v>191</v>
      </c>
      <c r="L96" s="40" t="s">
        <v>59</v>
      </c>
      <c r="M96" s="40" t="s">
        <v>192</v>
      </c>
      <c r="N96" s="40" t="s">
        <v>142</v>
      </c>
      <c r="O96" s="48">
        <v>10</v>
      </c>
      <c r="P96" s="48">
        <v>11</v>
      </c>
      <c r="Q96" s="40">
        <v>5</v>
      </c>
      <c r="R96" s="48">
        <v>55</v>
      </c>
      <c r="S96" s="40" t="s">
        <v>95</v>
      </c>
      <c r="T96" s="40" t="s">
        <v>42</v>
      </c>
      <c r="U96" s="40" t="s">
        <v>80</v>
      </c>
      <c r="V96" s="51" t="str">
        <f t="shared" si="4"/>
        <v>Not Delivered</v>
      </c>
      <c r="W96" s="40" t="str">
        <f t="shared" si="5"/>
        <v>Cancelled Order</v>
      </c>
      <c r="X96" s="40"/>
      <c r="Y96" s="40"/>
      <c r="Z96" s="40"/>
      <c r="AA96" s="40"/>
      <c r="AB96" s="40"/>
      <c r="AC96" s="40"/>
      <c r="AD96" s="40"/>
    </row>
    <row r="97" spans="1:30">
      <c r="A97" s="43" t="s">
        <v>290</v>
      </c>
      <c r="B97" s="44">
        <v>45116</v>
      </c>
      <c r="C97" s="45" t="s">
        <v>104</v>
      </c>
      <c r="D97" s="44">
        <v>45119</v>
      </c>
      <c r="E97" s="44"/>
      <c r="F97" s="43" t="s">
        <v>236</v>
      </c>
      <c r="G97" s="43" t="s">
        <v>153</v>
      </c>
      <c r="H97" s="43" t="s">
        <v>67</v>
      </c>
      <c r="I97" s="43" t="s">
        <v>35</v>
      </c>
      <c r="J97" s="43" t="s">
        <v>36</v>
      </c>
      <c r="K97" s="43" t="s">
        <v>140</v>
      </c>
      <c r="L97" s="43" t="s">
        <v>38</v>
      </c>
      <c r="M97" s="43" t="s">
        <v>141</v>
      </c>
      <c r="N97" s="43" t="s">
        <v>142</v>
      </c>
      <c r="O97" s="50">
        <v>20</v>
      </c>
      <c r="P97" s="50">
        <v>21</v>
      </c>
      <c r="Q97" s="43">
        <v>2</v>
      </c>
      <c r="R97" s="50">
        <v>42</v>
      </c>
      <c r="S97" s="43" t="s">
        <v>85</v>
      </c>
      <c r="T97" s="43" t="s">
        <v>55</v>
      </c>
      <c r="U97" s="43" t="s">
        <v>71</v>
      </c>
      <c r="V97" s="52">
        <f t="shared" si="4"/>
        <v>3</v>
      </c>
      <c r="W97" s="43" t="str">
        <f t="shared" si="5"/>
        <v>Slow</v>
      </c>
      <c r="X97" s="43"/>
      <c r="Y97" s="43"/>
      <c r="Z97" s="43"/>
      <c r="AA97" s="43"/>
      <c r="AB97" s="43"/>
      <c r="AC97" s="43"/>
      <c r="AD97" s="43"/>
    </row>
    <row r="98" spans="1:30">
      <c r="A98" s="40" t="s">
        <v>291</v>
      </c>
      <c r="B98" s="41">
        <v>45283</v>
      </c>
      <c r="C98" s="42" t="s">
        <v>31</v>
      </c>
      <c r="D98" s="41">
        <v>45286</v>
      </c>
      <c r="E98" s="41"/>
      <c r="F98" s="40" t="s">
        <v>123</v>
      </c>
      <c r="G98" s="40" t="s">
        <v>124</v>
      </c>
      <c r="H98" s="40" t="s">
        <v>34</v>
      </c>
      <c r="I98" s="40" t="s">
        <v>35</v>
      </c>
      <c r="J98" s="40" t="s">
        <v>36</v>
      </c>
      <c r="K98" s="40" t="s">
        <v>50</v>
      </c>
      <c r="L98" s="40" t="s">
        <v>101</v>
      </c>
      <c r="M98" s="40" t="s">
        <v>52</v>
      </c>
      <c r="N98" s="40" t="s">
        <v>53</v>
      </c>
      <c r="O98" s="48">
        <v>89</v>
      </c>
      <c r="P98" s="48">
        <v>95</v>
      </c>
      <c r="Q98" s="40">
        <v>5</v>
      </c>
      <c r="R98" s="48">
        <v>475</v>
      </c>
      <c r="S98" s="40" t="s">
        <v>85</v>
      </c>
      <c r="T98" s="40" t="s">
        <v>55</v>
      </c>
      <c r="U98" s="40" t="s">
        <v>80</v>
      </c>
      <c r="V98" s="51">
        <f t="shared" si="4"/>
        <v>3</v>
      </c>
      <c r="W98" s="40" t="str">
        <f t="shared" si="5"/>
        <v>Slow</v>
      </c>
      <c r="X98" s="40"/>
      <c r="Y98" s="40"/>
      <c r="Z98" s="40"/>
      <c r="AA98" s="40"/>
      <c r="AB98" s="40"/>
      <c r="AC98" s="40"/>
      <c r="AD98" s="40"/>
    </row>
    <row r="99" spans="1:30">
      <c r="A99" s="43" t="s">
        <v>292</v>
      </c>
      <c r="B99" s="44">
        <v>45194</v>
      </c>
      <c r="C99" s="45" t="s">
        <v>214</v>
      </c>
      <c r="D99" s="44">
        <v>45199</v>
      </c>
      <c r="E99" s="44"/>
      <c r="F99" s="43" t="s">
        <v>65</v>
      </c>
      <c r="G99" s="43" t="s">
        <v>66</v>
      </c>
      <c r="H99" s="43" t="s">
        <v>67</v>
      </c>
      <c r="I99" s="43" t="s">
        <v>68</v>
      </c>
      <c r="J99" s="43" t="s">
        <v>69</v>
      </c>
      <c r="K99" s="43" t="s">
        <v>201</v>
      </c>
      <c r="L99" s="43" t="s">
        <v>59</v>
      </c>
      <c r="M99" s="43" t="s">
        <v>202</v>
      </c>
      <c r="N99" s="43" t="s">
        <v>40</v>
      </c>
      <c r="O99" s="50">
        <v>199</v>
      </c>
      <c r="P99" s="50">
        <v>215</v>
      </c>
      <c r="Q99" s="43">
        <v>2</v>
      </c>
      <c r="R99" s="50">
        <v>430</v>
      </c>
      <c r="S99" s="43" t="s">
        <v>70</v>
      </c>
      <c r="T99" s="43" t="s">
        <v>55</v>
      </c>
      <c r="U99" s="43" t="s">
        <v>80</v>
      </c>
      <c r="V99" s="52">
        <f t="shared" si="4"/>
        <v>5</v>
      </c>
      <c r="W99" s="43" t="str">
        <f t="shared" si="5"/>
        <v>Slow</v>
      </c>
      <c r="X99" s="43"/>
      <c r="Y99" s="43"/>
      <c r="Z99" s="43"/>
      <c r="AA99" s="43"/>
      <c r="AB99" s="43"/>
      <c r="AC99" s="43"/>
      <c r="AD99" s="43"/>
    </row>
    <row r="100" spans="1:30">
      <c r="A100" s="40" t="s">
        <v>293</v>
      </c>
      <c r="B100" s="41">
        <v>44944</v>
      </c>
      <c r="C100" s="42" t="s">
        <v>173</v>
      </c>
      <c r="D100" s="41"/>
      <c r="E100" s="41">
        <v>44950</v>
      </c>
      <c r="F100" s="40" t="s">
        <v>294</v>
      </c>
      <c r="G100" s="40" t="s">
        <v>295</v>
      </c>
      <c r="H100" s="40" t="s">
        <v>34</v>
      </c>
      <c r="I100" s="40" t="s">
        <v>68</v>
      </c>
      <c r="J100" s="40" t="s">
        <v>69</v>
      </c>
      <c r="K100" s="40" t="s">
        <v>107</v>
      </c>
      <c r="L100" s="40" t="s">
        <v>101</v>
      </c>
      <c r="M100" s="40" t="s">
        <v>108</v>
      </c>
      <c r="N100" s="40" t="s">
        <v>79</v>
      </c>
      <c r="O100" s="48">
        <v>40</v>
      </c>
      <c r="P100" s="48">
        <v>43</v>
      </c>
      <c r="Q100" s="40">
        <v>5</v>
      </c>
      <c r="R100" s="48">
        <v>215</v>
      </c>
      <c r="S100" s="40" t="s">
        <v>54</v>
      </c>
      <c r="T100" s="40" t="s">
        <v>42</v>
      </c>
      <c r="U100" s="40" t="s">
        <v>71</v>
      </c>
      <c r="V100" s="51" t="str">
        <f t="shared" si="4"/>
        <v>Not Delivered</v>
      </c>
      <c r="W100" s="40" t="str">
        <f t="shared" si="5"/>
        <v>Cancelled Order</v>
      </c>
      <c r="X100" s="40"/>
      <c r="Y100" s="40"/>
      <c r="Z100" s="40"/>
      <c r="AA100" s="40"/>
      <c r="AB100" s="40"/>
      <c r="AC100" s="40"/>
      <c r="AD100" s="40"/>
    </row>
    <row r="101" spans="1:30">
      <c r="A101" s="43" t="s">
        <v>296</v>
      </c>
      <c r="B101" s="44">
        <v>45012</v>
      </c>
      <c r="C101" s="45" t="s">
        <v>187</v>
      </c>
      <c r="D101" s="44"/>
      <c r="E101" s="44"/>
      <c r="F101" s="43" t="s">
        <v>83</v>
      </c>
      <c r="G101" s="43" t="s">
        <v>84</v>
      </c>
      <c r="H101" s="43" t="s">
        <v>67</v>
      </c>
      <c r="I101" s="43" t="s">
        <v>75</v>
      </c>
      <c r="J101" s="43" t="s">
        <v>76</v>
      </c>
      <c r="K101" s="43" t="s">
        <v>167</v>
      </c>
      <c r="L101" s="43" t="s">
        <v>101</v>
      </c>
      <c r="M101" s="43" t="s">
        <v>168</v>
      </c>
      <c r="N101" s="43" t="s">
        <v>53</v>
      </c>
      <c r="O101" s="50">
        <v>39</v>
      </c>
      <c r="P101" s="50">
        <v>42</v>
      </c>
      <c r="Q101" s="43">
        <v>4</v>
      </c>
      <c r="R101" s="50">
        <v>168</v>
      </c>
      <c r="S101" s="43" t="s">
        <v>95</v>
      </c>
      <c r="T101" s="43" t="s">
        <v>61</v>
      </c>
      <c r="U101" s="43" t="s">
        <v>43</v>
      </c>
      <c r="V101" s="52" t="str">
        <f t="shared" si="4"/>
        <v>Not Delivered</v>
      </c>
      <c r="W101" s="43" t="str">
        <f t="shared" si="5"/>
        <v>Slow</v>
      </c>
      <c r="X101" s="43"/>
      <c r="Y101" s="43"/>
      <c r="Z101" s="43"/>
      <c r="AA101" s="43"/>
      <c r="AB101" s="43"/>
      <c r="AC101" s="43"/>
      <c r="AD101" s="43"/>
    </row>
  </sheetData>
  <autoFilter ref="A1:AD101"/>
  <conditionalFormatting sqref="L1">
    <cfRule type="containsBlanks" priority="14">
      <formula>LEN(TRIM(L1))=0</formula>
    </cfRule>
  </conditionalFormatting>
  <conditionalFormatting sqref="AD2">
    <cfRule type="containsBlanks" dxfId="16" priority="4">
      <formula>LEN(TRIM(AD2))=0</formula>
    </cfRule>
  </conditionalFormatting>
  <conditionalFormatting sqref="D2:D101">
    <cfRule type="containsBlanks" dxfId="15" priority="11">
      <formula>LEN(TRIM(D2))=0</formula>
    </cfRule>
  </conditionalFormatting>
  <conditionalFormatting sqref="E2:E101">
    <cfRule type="containsBlanks" dxfId="14" priority="1">
      <formula>LEN(TRIM(E2))=0</formula>
    </cfRule>
    <cfRule type="containsBlanks" dxfId="13" priority="10">
      <formula>LEN(TRIM(E2))=0</formula>
    </cfRule>
  </conditionalFormatting>
  <conditionalFormatting sqref="V2:V101">
    <cfRule type="cellIs" dxfId="12" priority="9" operator="lessThanOrEqual">
      <formula>2</formula>
    </cfRule>
  </conditionalFormatting>
  <conditionalFormatting sqref="X2:X101">
    <cfRule type="containsBlanks" dxfId="11" priority="8">
      <formula>LEN(TRIM(X2))=0</formula>
    </cfRule>
  </conditionalFormatting>
  <conditionalFormatting sqref="AD2:AD9">
    <cfRule type="notContainsBlanks" dxfId="10" priority="5">
      <formula>LEN(TRIM(AD2))&gt;0</formula>
    </cfRule>
  </conditionalFormatting>
  <conditionalFormatting sqref="AD5:AD101">
    <cfRule type="containsBlanks" dxfId="9" priority="3">
      <formula>LEN(TRIM(AD5))=0</formula>
    </cfRule>
  </conditionalFormatting>
  <conditionalFormatting sqref="W2:X101">
    <cfRule type="containsText" dxfId="8" priority="15" operator="containsText" text="Cancelled Order">
      <formula>NOT(ISERROR(SEARCH("Cancelled Order",W2)))</formula>
    </cfRule>
    <cfRule type="containsText" dxfId="7" priority="16" operator="containsText" text="Slow">
      <formula>NOT(ISERROR(SEARCH("Slow",W2)))</formula>
    </cfRule>
    <cfRule type="containsText" dxfId="6" priority="17" operator="containsText" text="Fast">
      <formula>NOT(ISERROR(SEARCH("Fast",W2)))</formula>
    </cfRule>
  </conditionalFormatting>
  <conditionalFormatting sqref="X2:AC101">
    <cfRule type="notContainsBlanks" dxfId="5" priority="6">
      <formula>LEN(TRIM(X2))&gt;0</formula>
    </cfRule>
  </conditionalFormatting>
  <conditionalFormatting sqref="Y2:AC101">
    <cfRule type="containsBlanks" dxfId="4" priority="7">
      <formula>LEN(TRIM(Y2))=0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50F9B155-01ED-4DDD-82DB-92702A5BEFF1}">
            <xm:f>NOT(ISERROR(SEARCH($T$2,T2)))</xm:f>
            <xm:f>$T$2</xm:f>
            <x14:dxf>
              <fill>
                <patternFill patternType="solid">
                  <bgColor rgb="FFFF0000"/>
                </patternFill>
              </fill>
            </x14:dxf>
          </x14:cfRule>
          <x14:cfRule type="containsText" priority="20" operator="containsText" id="{DA925E7C-88A9-4A0B-9F82-80588C936E25}">
            <xm:f>NOT(ISERROR(SEARCH($T$4,T2)))</xm:f>
            <xm:f>$T$4</xm:f>
            <x14:dxf>
              <fill>
                <patternFill patternType="solid">
                  <bgColor rgb="FFFFC000"/>
                </patternFill>
              </fill>
            </x14:dxf>
          </x14:cfRule>
          <x14:cfRule type="containsText" priority="21" operator="containsText" id="{F57CA527-2C87-4EFF-A18A-093A70D7C6E1}">
            <xm:f>NOT(ISERROR(SEARCH($T$3,T2)))</xm:f>
            <xm:f>$T$3</xm:f>
            <x14:dxf>
              <fill>
                <patternFill patternType="solid">
                  <bgColor rgb="FF92D050"/>
                </patternFill>
              </fill>
            </x14:dxf>
          </x14:cfRule>
          <xm:sqref>T2:T101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4"/>
  <sheetViews>
    <sheetView topLeftCell="D4" workbookViewId="0">
      <selection activeCell="D15" sqref="D15"/>
    </sheetView>
  </sheetViews>
  <sheetFormatPr defaultColWidth="9.140625" defaultRowHeight="15"/>
  <cols>
    <col min="1" max="1" width="16.5703125" customWidth="1"/>
    <col min="2" max="2" width="17.7109375" customWidth="1"/>
    <col min="3" max="3" width="17.85546875" customWidth="1"/>
    <col min="4" max="4" width="29.140625" customWidth="1"/>
    <col min="5" max="5" width="9.7109375"/>
    <col min="6" max="6" width="37.85546875"/>
    <col min="7" max="7" width="22.85546875"/>
    <col min="8" max="8" width="19" customWidth="1"/>
    <col min="9" max="9" width="19.85546875"/>
    <col min="10" max="10" width="22.85546875"/>
    <col min="12" max="12" width="9.7109375"/>
    <col min="13" max="13" width="25.28515625"/>
  </cols>
  <sheetData>
    <row r="2" spans="1:12">
      <c r="A2" s="21" t="s">
        <v>11</v>
      </c>
      <c r="B2" s="21" t="s">
        <v>297</v>
      </c>
      <c r="C2" s="22" t="s">
        <v>298</v>
      </c>
      <c r="D2" s="23" t="s">
        <v>299</v>
      </c>
      <c r="F2" s="11" t="s">
        <v>11</v>
      </c>
      <c r="G2" s="11" t="s">
        <v>300</v>
      </c>
      <c r="H2" s="11" t="s">
        <v>301</v>
      </c>
      <c r="I2" s="11" t="s">
        <v>302</v>
      </c>
    </row>
    <row r="3" spans="1:12">
      <c r="A3" s="24" t="s">
        <v>92</v>
      </c>
      <c r="B3" s="25">
        <v>97500</v>
      </c>
      <c r="C3" s="26">
        <f>SUMIF(Data!$L$2:$L$101,A3,Data!$R$2:$R$101)</f>
        <v>5456</v>
      </c>
      <c r="D3" s="27">
        <f>C3/B3</f>
        <v>5.5958974358974359E-2</v>
      </c>
      <c r="F3" s="24" t="s">
        <v>92</v>
      </c>
      <c r="G3">
        <f>COUNTIFS(Data!$L$2:$L$101,$F3,Data!$W$2:$W$101,Data!$W$3)</f>
        <v>1</v>
      </c>
      <c r="H3">
        <f>COUNTIFS(Data!$L$2:$L$101,$F3,Data!$W$2:$W$101,Data!$W$4)</f>
        <v>8</v>
      </c>
      <c r="I3" s="33">
        <f>(G3/(G3+H3))*100</f>
        <v>11.111111111111111</v>
      </c>
    </row>
    <row r="4" spans="1:12">
      <c r="A4" s="24" t="s">
        <v>51</v>
      </c>
      <c r="B4" s="25">
        <v>50500</v>
      </c>
      <c r="C4" s="26">
        <f>SUMIF(Data!$L$2:$L$101,A4,Data!$R$2:$R$101)</f>
        <v>3635</v>
      </c>
      <c r="D4" s="27">
        <f>C4/B4</f>
        <v>7.1980198019801975E-2</v>
      </c>
      <c r="F4" s="24" t="s">
        <v>51</v>
      </c>
      <c r="G4">
        <f>COUNTIFS(Data!$L$2:$L$101,$F4,Data!$W$2:$W$101,Data!$W$3)</f>
        <v>2</v>
      </c>
      <c r="H4">
        <f>COUNTIFS(Data!$L$2:$L$101,$F4,Data!$W$2:$W$101,Data!$W$4)</f>
        <v>13</v>
      </c>
      <c r="I4" s="33">
        <f>(G4/(G4+H4))*100</f>
        <v>13.333333333333334</v>
      </c>
    </row>
    <row r="5" spans="1:12">
      <c r="A5" s="24" t="s">
        <v>38</v>
      </c>
      <c r="B5" s="25">
        <v>105000</v>
      </c>
      <c r="C5" s="26">
        <f>SUMIF(Data!$L$2:$L$101,A5,Data!$R$2:$R$101)</f>
        <v>10491</v>
      </c>
      <c r="D5" s="27">
        <f>C5/B5</f>
        <v>9.9914285714285719E-2</v>
      </c>
      <c r="F5" s="24" t="s">
        <v>38</v>
      </c>
      <c r="G5">
        <f>COUNTIFS(Data!$L$2:$L$101,$F5,Data!$W$2:$W$101,Data!$W$3)</f>
        <v>3</v>
      </c>
      <c r="H5">
        <f>COUNTIFS(Data!$L$2:$L$101,$F5,Data!$W$2:$W$101,Data!$W$4)</f>
        <v>12</v>
      </c>
      <c r="I5" s="33">
        <f>(G5/(G5+H5))*100</f>
        <v>20</v>
      </c>
    </row>
    <row r="6" spans="1:12">
      <c r="A6" s="24" t="s">
        <v>59</v>
      </c>
      <c r="B6" s="25">
        <v>91500</v>
      </c>
      <c r="C6" s="26">
        <f>SUMIF(Data!$L$2:$L$101,A6,Data!$R$2:$R$101)</f>
        <v>7317</v>
      </c>
      <c r="D6" s="27">
        <f>C6/B6</f>
        <v>7.9967213114754104E-2</v>
      </c>
      <c r="F6" s="24" t="s">
        <v>59</v>
      </c>
      <c r="G6">
        <f>COUNTIFS(Data!$L$2:$L$101,$F6,Data!$W$2:$W$101,Data!$W$3)</f>
        <v>3</v>
      </c>
      <c r="H6">
        <f>COUNTIFS(Data!$L$2:$L$101,$F6,Data!$W$2:$W$101,Data!$W$4)</f>
        <v>13</v>
      </c>
      <c r="I6" s="33">
        <f>(G6/(G6+H6))*100</f>
        <v>18.75</v>
      </c>
    </row>
    <row r="7" spans="1:12">
      <c r="A7" s="24" t="s">
        <v>101</v>
      </c>
      <c r="B7" s="25">
        <v>90750</v>
      </c>
      <c r="C7" s="26">
        <f>SUMIF(Data!$L$2:$L$101,A7,Data!$R$2:$R$101)</f>
        <v>8359</v>
      </c>
      <c r="D7" s="27">
        <f>C7/B7</f>
        <v>9.2110192837465563E-2</v>
      </c>
      <c r="F7" s="24" t="s">
        <v>101</v>
      </c>
      <c r="G7">
        <f>COUNTIFS(Data!$L$2:$L$101,$F7,Data!$W$2:$W$101,Data!$W$3)</f>
        <v>2</v>
      </c>
      <c r="H7">
        <f>COUNTIFS(Data!$L$2:$L$101,$F7,Data!$W$2:$W$101,Data!$W$4)</f>
        <v>13</v>
      </c>
      <c r="I7" s="33">
        <f>(G7/(G7+H7))*100</f>
        <v>13.333333333333334</v>
      </c>
      <c r="K7" s="11"/>
      <c r="L7" s="12"/>
    </row>
    <row r="8" spans="1:12">
      <c r="I8" s="33"/>
    </row>
    <row r="9" spans="1:12">
      <c r="I9" s="33"/>
    </row>
    <row r="10" spans="1:12">
      <c r="A10" s="57" t="s">
        <v>364</v>
      </c>
      <c r="I10" s="11" t="s">
        <v>303</v>
      </c>
      <c r="J10" s="11" t="s">
        <v>304</v>
      </c>
    </row>
    <row r="11" spans="1:12">
      <c r="A11" s="21" t="s">
        <v>11</v>
      </c>
      <c r="B11" s="21" t="s">
        <v>305</v>
      </c>
      <c r="C11" s="58" t="s">
        <v>306</v>
      </c>
      <c r="I11" s="20">
        <f>SUM($G$3:$G$7)</f>
        <v>11</v>
      </c>
      <c r="J11" s="20">
        <f>SUM($H$3:$H$7)</f>
        <v>59</v>
      </c>
    </row>
    <row r="12" spans="1:12">
      <c r="A12" s="24" t="s">
        <v>92</v>
      </c>
      <c r="B12" s="25">
        <f>SUMIFS(Data!$Q$2:$Q$101,Data!$T$2:$T$101,Data!$T$2,Data!$L$2:$L$101,A12)</f>
        <v>12</v>
      </c>
      <c r="C12" s="27">
        <f>B12/$C$21</f>
        <v>0.13333333333333333</v>
      </c>
    </row>
    <row r="13" spans="1:12">
      <c r="A13" s="24" t="s">
        <v>51</v>
      </c>
      <c r="B13" s="25">
        <f>SUMIFS(Data!$Q$2:$Q$101,Data!$T$2:$T$101,Data!$T$2,Data!$L$2:$L$101,A13)</f>
        <v>10</v>
      </c>
      <c r="C13" s="27">
        <f>B13/$C$21</f>
        <v>0.1111111111111111</v>
      </c>
      <c r="I13" s="11" t="s">
        <v>307</v>
      </c>
      <c r="J13" s="12">
        <f>$I$11/($I$11+$J$11)</f>
        <v>0.15714285714285714</v>
      </c>
    </row>
    <row r="14" spans="1:12">
      <c r="A14" s="24" t="s">
        <v>38</v>
      </c>
      <c r="B14" s="25">
        <f>SUMIFS(Data!$Q$2:$Q$101,Data!$T$2:$T$101,Data!$T$2,Data!$L$2:$L$101,A14)</f>
        <v>29</v>
      </c>
      <c r="C14" s="27">
        <f>B14/$C$21</f>
        <v>0.32222222222222224</v>
      </c>
    </row>
    <row r="15" spans="1:12">
      <c r="A15" s="24" t="s">
        <v>59</v>
      </c>
      <c r="B15" s="25">
        <f>SUMIFS(Data!$Q$2:$Q$101,Data!$T$2:$T$101,Data!$T$2,Data!$L$2:$L$101,A15)</f>
        <v>10</v>
      </c>
      <c r="C15" s="27">
        <f>B15/$C$21</f>
        <v>0.1111111111111111</v>
      </c>
    </row>
    <row r="16" spans="1:12">
      <c r="A16" s="24" t="s">
        <v>101</v>
      </c>
      <c r="B16" s="25">
        <f>SUMIFS(Data!$Q$2:$Q$101,Data!$T$2:$T$101,Data!$T$2,Data!$L$2:$L$101,A16)</f>
        <v>29</v>
      </c>
      <c r="C16" s="27">
        <f>B16/$C$21</f>
        <v>0.32222222222222224</v>
      </c>
    </row>
    <row r="17" spans="2:10">
      <c r="G17" s="13"/>
    </row>
    <row r="19" spans="2:10">
      <c r="H19" s="28" t="s">
        <v>308</v>
      </c>
      <c r="I19" s="28" t="s">
        <v>309</v>
      </c>
      <c r="J19" s="28" t="s">
        <v>310</v>
      </c>
    </row>
    <row r="20" spans="2:10">
      <c r="H20" s="28"/>
      <c r="I20" s="28"/>
      <c r="J20" s="28"/>
    </row>
    <row r="21" spans="2:10" ht="15.75">
      <c r="B21" s="11" t="s">
        <v>311</v>
      </c>
      <c r="C21" s="29">
        <f>SUMIF(Data!$T$2:$T$101,Data!$T$2,Data!$Q$2:$Q$101)</f>
        <v>90</v>
      </c>
      <c r="E21" s="15" t="s">
        <v>312</v>
      </c>
      <c r="H21" s="23"/>
      <c r="I21" s="23"/>
      <c r="J21" s="28"/>
    </row>
    <row r="22" spans="2:10">
      <c r="H22" s="28"/>
      <c r="I22" s="28"/>
      <c r="J22" s="28"/>
    </row>
    <row r="23" spans="2:10">
      <c r="E23" s="28" t="s">
        <v>11</v>
      </c>
      <c r="F23" s="28" t="s">
        <v>313</v>
      </c>
      <c r="G23" s="30"/>
      <c r="H23" s="28"/>
      <c r="I23" s="28"/>
      <c r="J23" s="28"/>
    </row>
    <row r="24" spans="2:10">
      <c r="E24" s="24" t="s">
        <v>38</v>
      </c>
      <c r="F24" s="27">
        <v>9.9914285714285705E-2</v>
      </c>
      <c r="G24" s="30"/>
      <c r="H24" s="28"/>
      <c r="I24" s="28"/>
      <c r="J24" s="28"/>
    </row>
    <row r="25" spans="2:10">
      <c r="E25" s="24" t="s">
        <v>101</v>
      </c>
      <c r="F25" s="27">
        <v>9.2110192837465604E-2</v>
      </c>
      <c r="G25" s="30"/>
      <c r="H25" s="28"/>
      <c r="I25" s="28"/>
      <c r="J25" s="28"/>
    </row>
    <row r="26" spans="2:10">
      <c r="E26" s="24" t="s">
        <v>59</v>
      </c>
      <c r="F26" s="27">
        <v>7.9967213114754104E-2</v>
      </c>
      <c r="G26" s="30"/>
      <c r="H26" s="28"/>
      <c r="I26" s="28"/>
      <c r="J26" s="28"/>
    </row>
    <row r="27" spans="2:10">
      <c r="E27" s="31"/>
      <c r="F27" s="32"/>
      <c r="H27" s="28"/>
      <c r="I27" s="28"/>
      <c r="J27" s="28"/>
    </row>
    <row r="28" spans="2:10">
      <c r="E28" s="31"/>
      <c r="F28" s="32"/>
      <c r="H28" s="28"/>
      <c r="I28" s="28"/>
      <c r="J28" s="28"/>
    </row>
    <row r="29" spans="2:10">
      <c r="E29" t="s">
        <v>11</v>
      </c>
      <c r="F29" t="s">
        <v>314</v>
      </c>
      <c r="H29" s="28"/>
      <c r="I29" s="28"/>
      <c r="J29" s="28"/>
    </row>
    <row r="30" spans="2:10">
      <c r="E30" t="s">
        <v>38</v>
      </c>
      <c r="F30">
        <v>9.9914285714285705E-2</v>
      </c>
      <c r="H30" s="28"/>
      <c r="I30" s="28"/>
      <c r="J30" s="28"/>
    </row>
    <row r="31" spans="2:10">
      <c r="E31" t="s">
        <v>59</v>
      </c>
      <c r="F31">
        <v>7.9967213114754104E-2</v>
      </c>
      <c r="H31" s="28"/>
      <c r="I31" s="28"/>
      <c r="J31" s="28"/>
    </row>
    <row r="32" spans="2:10">
      <c r="E32" t="s">
        <v>101</v>
      </c>
      <c r="F32">
        <v>9.2110192837465604E-2</v>
      </c>
      <c r="H32" s="30"/>
      <c r="I32" s="30"/>
    </row>
    <row r="33" spans="8:9">
      <c r="H33" s="30"/>
      <c r="I33" s="30"/>
    </row>
    <row r="34" spans="8:9">
      <c r="H34" s="30"/>
      <c r="I34" s="30"/>
    </row>
    <row r="35" spans="8:9">
      <c r="H35" s="30"/>
      <c r="I35" s="30"/>
    </row>
    <row r="36" spans="8:9">
      <c r="H36" s="30"/>
      <c r="I36" s="30"/>
    </row>
    <row r="37" spans="8:9">
      <c r="H37" s="30"/>
      <c r="I37" s="30"/>
    </row>
    <row r="38" spans="8:9">
      <c r="H38" s="30"/>
      <c r="I38" s="30"/>
    </row>
    <row r="39" spans="8:9">
      <c r="H39" s="30"/>
      <c r="I39" s="30"/>
    </row>
    <row r="40" spans="8:9">
      <c r="H40" s="30"/>
      <c r="I40" s="30"/>
    </row>
    <row r="41" spans="8:9">
      <c r="H41" s="30"/>
      <c r="I41" s="30"/>
    </row>
    <row r="42" spans="8:9">
      <c r="H42" s="30"/>
      <c r="I42" s="30"/>
    </row>
    <row r="43" spans="8:9">
      <c r="H43" s="30"/>
      <c r="I43" s="30"/>
    </row>
    <row r="44" spans="8:9">
      <c r="H44" s="30"/>
      <c r="I44" s="30"/>
    </row>
  </sheetData>
  <autoFilter ref="E23:F32">
    <sortState ref="E22:F31">
      <sortCondition descending="1" ref="F22"/>
    </sortState>
  </autoFilter>
  <pageMargins left="0.75" right="0.75" top="1" bottom="1" header="0.5" footer="0.5"/>
  <pageSetup orientation="portrait"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8"/>
  <sheetViews>
    <sheetView topLeftCell="S1" workbookViewId="0">
      <selection activeCell="V21" sqref="V21"/>
    </sheetView>
  </sheetViews>
  <sheetFormatPr defaultColWidth="9.140625" defaultRowHeight="15"/>
  <cols>
    <col min="1" max="1" width="13.7109375"/>
    <col min="2" max="2" width="20.7109375"/>
    <col min="3" max="3" width="21.42578125"/>
    <col min="4" max="4" width="5.42578125" customWidth="1"/>
    <col min="5" max="5" width="19"/>
    <col min="6" max="6" width="14.7109375"/>
    <col min="7" max="7" width="19.140625"/>
    <col min="8" max="8" width="10.5703125" customWidth="1"/>
    <col min="9" max="9" width="17.42578125"/>
    <col min="10" max="10" width="9.7109375"/>
    <col min="11" max="11" width="21.42578125"/>
    <col min="12" max="12" width="6.7109375" customWidth="1"/>
    <col min="13" max="13" width="17.42578125"/>
    <col min="14" max="14" width="9.7109375"/>
    <col min="15" max="15" width="21.42578125"/>
    <col min="16" max="16" width="4.5703125" customWidth="1"/>
    <col min="17" max="17" width="9.7109375"/>
    <col min="18" max="18" width="19.85546875"/>
    <col min="19" max="19" width="23.28515625"/>
    <col min="20" max="20" width="7.5703125" customWidth="1"/>
    <col min="21" max="21" width="9.7109375"/>
    <col min="22" max="22" width="17.5703125"/>
    <col min="23" max="23" width="7" customWidth="1"/>
    <col min="24" max="24" width="11.42578125"/>
    <col min="25" max="25" width="19"/>
    <col min="26" max="27" width="21.42578125"/>
    <col min="28" max="28" width="9.7109375"/>
    <col min="29" max="29" width="32.42578125"/>
    <col min="30" max="30" width="12.85546875"/>
    <col min="31" max="31" width="7.5703125"/>
    <col min="32" max="32" width="4.5703125"/>
    <col min="33" max="33" width="7.85546875"/>
  </cols>
  <sheetData>
    <row r="2" spans="1:29" ht="15.75">
      <c r="A2" s="11" t="s">
        <v>315</v>
      </c>
      <c r="E2" s="11" t="s">
        <v>316</v>
      </c>
      <c r="F2" s="12"/>
      <c r="I2" s="14" t="s">
        <v>317</v>
      </c>
      <c r="M2" s="15" t="s">
        <v>318</v>
      </c>
      <c r="Q2" s="15" t="s">
        <v>319</v>
      </c>
      <c r="U2" s="15" t="s">
        <v>320</v>
      </c>
      <c r="X2" s="11" t="s">
        <v>321</v>
      </c>
      <c r="AB2" s="11" t="s">
        <v>322</v>
      </c>
    </row>
    <row r="3" spans="1:29">
      <c r="A3" t="s">
        <v>9</v>
      </c>
      <c r="B3" t="s">
        <v>2</v>
      </c>
      <c r="C3" t="s">
        <v>323</v>
      </c>
      <c r="E3" t="s">
        <v>12</v>
      </c>
      <c r="F3" t="s">
        <v>324</v>
      </c>
      <c r="G3" t="s">
        <v>325</v>
      </c>
      <c r="I3" t="s">
        <v>19</v>
      </c>
      <c r="J3" t="s">
        <v>11</v>
      </c>
      <c r="K3" t="s">
        <v>323</v>
      </c>
      <c r="M3" t="s">
        <v>13</v>
      </c>
      <c r="N3" t="s">
        <v>11</v>
      </c>
      <c r="O3" t="s">
        <v>323</v>
      </c>
      <c r="Q3" t="s">
        <v>11</v>
      </c>
      <c r="R3" t="s">
        <v>326</v>
      </c>
      <c r="S3" t="s">
        <v>327</v>
      </c>
      <c r="U3" t="s">
        <v>11</v>
      </c>
      <c r="V3" t="s">
        <v>328</v>
      </c>
      <c r="X3" t="s">
        <v>13</v>
      </c>
      <c r="Y3" t="s">
        <v>12</v>
      </c>
      <c r="Z3" t="s">
        <v>323</v>
      </c>
      <c r="AB3" t="s">
        <v>11</v>
      </c>
      <c r="AC3" t="s">
        <v>329</v>
      </c>
    </row>
    <row r="4" spans="1:29">
      <c r="A4" t="s">
        <v>36</v>
      </c>
      <c r="C4">
        <v>7866</v>
      </c>
      <c r="E4" t="s">
        <v>155</v>
      </c>
      <c r="F4">
        <v>12</v>
      </c>
      <c r="G4">
        <v>9644</v>
      </c>
      <c r="I4" t="s">
        <v>55</v>
      </c>
      <c r="K4">
        <v>34</v>
      </c>
      <c r="M4" t="s">
        <v>40</v>
      </c>
      <c r="O4" s="16">
        <v>10951</v>
      </c>
      <c r="Q4" t="s">
        <v>92</v>
      </c>
      <c r="R4">
        <v>97500</v>
      </c>
      <c r="S4">
        <v>5456</v>
      </c>
      <c r="U4" t="s">
        <v>38</v>
      </c>
      <c r="V4" s="18">
        <v>0.33333333333333298</v>
      </c>
      <c r="X4" t="s">
        <v>40</v>
      </c>
      <c r="Z4">
        <v>10951</v>
      </c>
      <c r="AA4" s="20"/>
      <c r="AB4" t="s">
        <v>38</v>
      </c>
      <c r="AC4">
        <v>0.2</v>
      </c>
    </row>
    <row r="5" spans="1:29">
      <c r="A5" t="s">
        <v>116</v>
      </c>
      <c r="C5">
        <v>3119</v>
      </c>
      <c r="E5" t="s">
        <v>202</v>
      </c>
      <c r="F5">
        <v>24</v>
      </c>
      <c r="G5">
        <v>5151</v>
      </c>
      <c r="J5" t="s">
        <v>38</v>
      </c>
      <c r="K5">
        <v>4075</v>
      </c>
      <c r="M5" t="s">
        <v>53</v>
      </c>
      <c r="O5" s="16">
        <v>3511</v>
      </c>
      <c r="Q5" t="s">
        <v>51</v>
      </c>
      <c r="R5">
        <v>50500</v>
      </c>
      <c r="S5">
        <v>3635</v>
      </c>
      <c r="U5" t="s">
        <v>101</v>
      </c>
      <c r="V5" s="18">
        <v>0.266666666666667</v>
      </c>
      <c r="Y5" t="s">
        <v>39</v>
      </c>
      <c r="Z5">
        <v>320</v>
      </c>
      <c r="AA5" s="20"/>
      <c r="AB5" t="s">
        <v>59</v>
      </c>
      <c r="AC5">
        <v>0.1875</v>
      </c>
    </row>
    <row r="6" spans="1:29">
      <c r="A6" t="s">
        <v>185</v>
      </c>
      <c r="C6">
        <v>367</v>
      </c>
      <c r="E6" t="s">
        <v>111</v>
      </c>
      <c r="F6">
        <v>18</v>
      </c>
      <c r="G6">
        <v>2496</v>
      </c>
      <c r="J6" t="s">
        <v>51</v>
      </c>
      <c r="K6">
        <v>1842</v>
      </c>
      <c r="M6" t="s">
        <v>79</v>
      </c>
      <c r="O6" s="16">
        <v>3872</v>
      </c>
      <c r="Q6" t="s">
        <v>38</v>
      </c>
      <c r="R6">
        <v>105000</v>
      </c>
      <c r="S6">
        <v>10491</v>
      </c>
      <c r="U6" t="s">
        <v>92</v>
      </c>
      <c r="V6" s="18">
        <v>0.16666666666666699</v>
      </c>
      <c r="Y6" t="s">
        <v>60</v>
      </c>
      <c r="Z6">
        <v>2144</v>
      </c>
      <c r="AA6" s="20"/>
      <c r="AB6" t="s">
        <v>101</v>
      </c>
      <c r="AC6">
        <v>0.133333333333333</v>
      </c>
    </row>
    <row r="7" spans="1:29">
      <c r="A7" t="s">
        <v>49</v>
      </c>
      <c r="C7">
        <v>8107</v>
      </c>
      <c r="E7" t="s">
        <v>118</v>
      </c>
      <c r="F7">
        <v>9</v>
      </c>
      <c r="G7">
        <v>2230</v>
      </c>
      <c r="J7" t="s">
        <v>59</v>
      </c>
      <c r="K7">
        <v>1063</v>
      </c>
      <c r="M7" t="s">
        <v>94</v>
      </c>
      <c r="O7" s="16">
        <v>15209</v>
      </c>
      <c r="Q7" t="s">
        <v>59</v>
      </c>
      <c r="R7">
        <v>91500</v>
      </c>
      <c r="S7">
        <v>7317</v>
      </c>
      <c r="U7" t="s">
        <v>59</v>
      </c>
      <c r="V7" s="18">
        <v>0.133333333333333</v>
      </c>
      <c r="Y7" t="s">
        <v>102</v>
      </c>
      <c r="Z7">
        <v>840</v>
      </c>
      <c r="AA7" s="20"/>
      <c r="AB7" t="s">
        <v>51</v>
      </c>
      <c r="AC7">
        <v>0.133333333333333</v>
      </c>
    </row>
    <row r="8" spans="1:29">
      <c r="A8" t="s">
        <v>217</v>
      </c>
      <c r="C8">
        <v>1040</v>
      </c>
      <c r="E8" t="s">
        <v>60</v>
      </c>
      <c r="F8">
        <v>11</v>
      </c>
      <c r="G8">
        <v>2144</v>
      </c>
      <c r="J8" t="s">
        <v>92</v>
      </c>
      <c r="K8">
        <v>3010</v>
      </c>
      <c r="M8" t="s">
        <v>142</v>
      </c>
      <c r="O8" s="16">
        <v>1715</v>
      </c>
      <c r="Q8" t="s">
        <v>101</v>
      </c>
      <c r="R8">
        <v>90750</v>
      </c>
      <c r="S8">
        <v>8359</v>
      </c>
      <c r="U8" t="s">
        <v>51</v>
      </c>
      <c r="V8" s="18">
        <v>0.1</v>
      </c>
      <c r="Y8" t="s">
        <v>111</v>
      </c>
      <c r="Z8">
        <v>2496</v>
      </c>
      <c r="AA8" s="20"/>
      <c r="AB8" t="s">
        <v>92</v>
      </c>
      <c r="AC8">
        <v>0.11111111111111099</v>
      </c>
    </row>
    <row r="9" spans="1:29">
      <c r="A9" t="s">
        <v>69</v>
      </c>
      <c r="C9">
        <v>2509</v>
      </c>
      <c r="E9" t="s">
        <v>52</v>
      </c>
      <c r="F9">
        <v>16</v>
      </c>
      <c r="G9">
        <v>1530</v>
      </c>
      <c r="J9" t="s">
        <v>101</v>
      </c>
      <c r="K9">
        <v>3666</v>
      </c>
      <c r="Q9" s="11" t="s">
        <v>330</v>
      </c>
      <c r="R9" s="13">
        <f>SUBTOTAL(9,$R$4:$R$8)</f>
        <v>435250</v>
      </c>
      <c r="S9" s="13">
        <f>SUBTOTAL(9,$S$4:$S$8)</f>
        <v>35258</v>
      </c>
      <c r="Y9" t="s">
        <v>202</v>
      </c>
      <c r="Z9">
        <v>5151</v>
      </c>
      <c r="AA9" s="20"/>
    </row>
    <row r="10" spans="1:29">
      <c r="A10" t="s">
        <v>181</v>
      </c>
      <c r="C10">
        <v>6396</v>
      </c>
      <c r="E10" t="s">
        <v>131</v>
      </c>
      <c r="F10">
        <v>19</v>
      </c>
      <c r="G10">
        <v>1392</v>
      </c>
      <c r="I10" s="11"/>
      <c r="J10" s="11"/>
      <c r="K10" s="17"/>
      <c r="X10" t="s">
        <v>53</v>
      </c>
      <c r="Z10">
        <v>3511</v>
      </c>
      <c r="AA10" s="20"/>
    </row>
    <row r="11" spans="1:29">
      <c r="A11" t="s">
        <v>76</v>
      </c>
      <c r="C11">
        <v>5730</v>
      </c>
      <c r="E11" t="s">
        <v>147</v>
      </c>
      <c r="F11">
        <v>19</v>
      </c>
      <c r="G11">
        <v>1318</v>
      </c>
      <c r="I11" s="11"/>
      <c r="J11" s="11"/>
      <c r="K11" s="17"/>
      <c r="Q11" s="11" t="s">
        <v>331</v>
      </c>
      <c r="R11" s="11" t="str">
        <f>_xlfn.XLOOKUP(MAX($S$4:$S$8),$S$4:$S$8,$Q$4:$Q$8)</f>
        <v>North</v>
      </c>
      <c r="S11" s="17">
        <f>_xlfn.XLOOKUP($R$11,$Q$4:$Q$8,$S$4:$S$8)</f>
        <v>10491</v>
      </c>
      <c r="V11" s="11"/>
      <c r="W11" s="12"/>
      <c r="Y11" t="s">
        <v>52</v>
      </c>
      <c r="Z11">
        <v>1530</v>
      </c>
      <c r="AA11" s="20"/>
      <c r="AC11" s="11" t="s">
        <v>332</v>
      </c>
    </row>
    <row r="12" spans="1:29">
      <c r="A12" t="e">
        <v>#N/A</v>
      </c>
      <c r="C12">
        <v>124</v>
      </c>
      <c r="E12" t="s">
        <v>126</v>
      </c>
      <c r="F12">
        <v>13</v>
      </c>
      <c r="G12">
        <v>1239</v>
      </c>
      <c r="I12" s="11"/>
      <c r="J12" s="11"/>
      <c r="K12" s="17"/>
      <c r="Q12" s="11" t="s">
        <v>333</v>
      </c>
      <c r="R12" s="11" t="str">
        <f>IFERROR(_xlfn.XLOOKUP(LARGE($S$4:$S$8,2),$S$4:$S$8,$Q$4:$Q$8)," ")</f>
        <v>West</v>
      </c>
      <c r="S12" s="17">
        <f>IFERROR(_xlfn.XLOOKUP($R$12,$Q$4:$Q$8,$S$4:$S$8)," ")</f>
        <v>8359</v>
      </c>
      <c r="Y12" t="s">
        <v>168</v>
      </c>
      <c r="Z12">
        <v>669</v>
      </c>
      <c r="AA12" s="20"/>
      <c r="AC12" s="12">
        <f>IFERROR(SUBTOTAL(1,AC4:AC8),"-")</f>
        <v>0.153055555555555</v>
      </c>
    </row>
    <row r="13" spans="1:29">
      <c r="E13" t="s">
        <v>199</v>
      </c>
      <c r="F13">
        <v>7</v>
      </c>
      <c r="G13">
        <v>1212</v>
      </c>
      <c r="Q13" s="11" t="s">
        <v>334</v>
      </c>
      <c r="R13" s="11" t="str">
        <f>IFERROR(_xlfn.XLOOKUP(LARGE($S$4:$S$8,3),$S$4:$S$8,$Q$4:$Q$8)," ")</f>
        <v>South</v>
      </c>
      <c r="S13" s="17">
        <f>IFERROR(_xlfn.XLOOKUP($R$13,$Q$4:$Q$8,$S$4:$S$8)," ")</f>
        <v>7317</v>
      </c>
      <c r="Y13" t="s">
        <v>206</v>
      </c>
      <c r="Z13">
        <v>188</v>
      </c>
      <c r="AA13" s="20"/>
      <c r="AC13" s="11" t="s">
        <v>335</v>
      </c>
    </row>
    <row r="14" spans="1:29">
      <c r="E14" t="s">
        <v>212</v>
      </c>
      <c r="F14">
        <v>18</v>
      </c>
      <c r="G14">
        <v>1124</v>
      </c>
      <c r="M14" t="s">
        <v>19</v>
      </c>
      <c r="N14" t="s">
        <v>336</v>
      </c>
      <c r="Y14" t="s">
        <v>212</v>
      </c>
      <c r="Z14">
        <v>1124</v>
      </c>
      <c r="AA14" s="20"/>
      <c r="AC14" t="str">
        <f>$AB$4</f>
        <v>North</v>
      </c>
    </row>
    <row r="15" spans="1:29">
      <c r="E15" t="s">
        <v>108</v>
      </c>
      <c r="F15">
        <v>23</v>
      </c>
      <c r="G15">
        <v>995</v>
      </c>
      <c r="M15" t="s">
        <v>42</v>
      </c>
      <c r="N15" s="18">
        <v>0.3</v>
      </c>
      <c r="X15" t="s">
        <v>79</v>
      </c>
      <c r="Z15">
        <v>3872</v>
      </c>
      <c r="AA15" s="20"/>
    </row>
    <row r="16" spans="1:29">
      <c r="E16" t="s">
        <v>102</v>
      </c>
      <c r="F16">
        <v>23</v>
      </c>
      <c r="G16">
        <v>840</v>
      </c>
      <c r="M16" t="s">
        <v>55</v>
      </c>
      <c r="N16" s="18">
        <v>0.34</v>
      </c>
      <c r="Y16" t="s">
        <v>78</v>
      </c>
      <c r="Z16">
        <v>581</v>
      </c>
      <c r="AA16" s="20"/>
    </row>
    <row r="17" spans="5:27">
      <c r="E17" t="s">
        <v>93</v>
      </c>
      <c r="F17">
        <v>7</v>
      </c>
      <c r="G17">
        <v>731</v>
      </c>
      <c r="M17" t="s">
        <v>61</v>
      </c>
      <c r="N17" s="18">
        <v>0.36</v>
      </c>
      <c r="Q17" s="11"/>
      <c r="R17" s="13"/>
      <c r="Y17" t="s">
        <v>108</v>
      </c>
      <c r="Z17">
        <v>995</v>
      </c>
      <c r="AA17" s="20"/>
    </row>
    <row r="18" spans="5:27">
      <c r="E18" t="s">
        <v>168</v>
      </c>
      <c r="F18">
        <v>16</v>
      </c>
      <c r="G18">
        <v>669</v>
      </c>
      <c r="Y18" t="s">
        <v>126</v>
      </c>
      <c r="Z18">
        <v>1239</v>
      </c>
      <c r="AA18" s="20"/>
    </row>
    <row r="19" spans="5:27">
      <c r="E19" t="s">
        <v>78</v>
      </c>
      <c r="F19">
        <v>10</v>
      </c>
      <c r="G19">
        <v>581</v>
      </c>
      <c r="Y19" t="s">
        <v>134</v>
      </c>
      <c r="Z19">
        <v>539</v>
      </c>
      <c r="AA19" s="20"/>
    </row>
    <row r="20" spans="5:27">
      <c r="E20" t="s">
        <v>134</v>
      </c>
      <c r="F20">
        <v>20</v>
      </c>
      <c r="G20">
        <v>539</v>
      </c>
      <c r="S20" s="13"/>
      <c r="T20" s="13"/>
      <c r="Y20" t="s">
        <v>171</v>
      </c>
      <c r="Z20">
        <v>518</v>
      </c>
      <c r="AA20" s="20"/>
    </row>
    <row r="21" spans="5:27">
      <c r="E21" t="s">
        <v>171</v>
      </c>
      <c r="F21">
        <v>8</v>
      </c>
      <c r="G21">
        <v>518</v>
      </c>
      <c r="I21" s="11" t="s">
        <v>337</v>
      </c>
      <c r="K21" s="13">
        <f>SUM($K$5:$K$9)</f>
        <v>13656</v>
      </c>
      <c r="X21" t="s">
        <v>94</v>
      </c>
      <c r="Z21">
        <v>15209</v>
      </c>
      <c r="AA21" s="20"/>
    </row>
    <row r="22" spans="5:27">
      <c r="E22" t="s">
        <v>39</v>
      </c>
      <c r="F22">
        <v>7</v>
      </c>
      <c r="G22">
        <v>320</v>
      </c>
      <c r="Q22" s="19"/>
      <c r="Y22" t="s">
        <v>93</v>
      </c>
      <c r="Z22">
        <v>731</v>
      </c>
      <c r="AA22" s="20"/>
    </row>
    <row r="23" spans="5:27">
      <c r="E23" t="s">
        <v>141</v>
      </c>
      <c r="F23">
        <v>11</v>
      </c>
      <c r="G23">
        <v>232</v>
      </c>
      <c r="Y23" t="s">
        <v>118</v>
      </c>
      <c r="Z23">
        <v>2230</v>
      </c>
      <c r="AA23" s="20"/>
    </row>
    <row r="24" spans="5:27">
      <c r="E24" t="s">
        <v>206</v>
      </c>
      <c r="F24">
        <v>6</v>
      </c>
      <c r="G24">
        <v>188</v>
      </c>
      <c r="Y24" t="s">
        <v>131</v>
      </c>
      <c r="Z24">
        <v>1392</v>
      </c>
      <c r="AA24" s="20"/>
    </row>
    <row r="25" spans="5:27">
      <c r="E25" t="s">
        <v>192</v>
      </c>
      <c r="F25">
        <v>15</v>
      </c>
      <c r="G25">
        <v>165</v>
      </c>
      <c r="Y25" t="s">
        <v>155</v>
      </c>
      <c r="Z25">
        <v>9644</v>
      </c>
      <c r="AA25" s="20"/>
    </row>
    <row r="26" spans="5:27">
      <c r="E26" s="11" t="s">
        <v>338</v>
      </c>
      <c r="F26">
        <f>MAX($F$4:$F$25)</f>
        <v>24</v>
      </c>
      <c r="G26" s="13">
        <f>SUBTOTAL(9,$G$4:$G$25)</f>
        <v>35258</v>
      </c>
      <c r="H26" s="11" t="s">
        <v>339</v>
      </c>
      <c r="Y26" t="s">
        <v>199</v>
      </c>
      <c r="Z26">
        <v>1212</v>
      </c>
      <c r="AA26" s="20"/>
    </row>
    <row r="27" spans="5:27">
      <c r="E27" s="11" t="s">
        <v>340</v>
      </c>
      <c r="F27" s="13">
        <f>SUBTOTAL(4,G4:G25)</f>
        <v>9644</v>
      </c>
      <c r="G27" s="11" t="str">
        <f>IFERROR(_xlfn.XLOOKUP($F$27,G4:$G$25,$E$4:$E$25)," ")</f>
        <v>Smartphone</v>
      </c>
      <c r="X27" t="s">
        <v>142</v>
      </c>
      <c r="Z27">
        <v>1715</v>
      </c>
      <c r="AA27" s="20"/>
    </row>
    <row r="28" spans="5:27">
      <c r="Y28" t="s">
        <v>141</v>
      </c>
      <c r="Z28">
        <v>232</v>
      </c>
      <c r="AA28" s="20"/>
    </row>
    <row r="29" spans="5:27">
      <c r="R29" s="11"/>
      <c r="S29" s="13"/>
      <c r="Y29" t="s">
        <v>147</v>
      </c>
      <c r="Z29">
        <v>1318</v>
      </c>
      <c r="AA29" s="20"/>
    </row>
    <row r="30" spans="5:27">
      <c r="Y30" t="s">
        <v>192</v>
      </c>
      <c r="Z30">
        <v>165</v>
      </c>
      <c r="AA30" s="20"/>
    </row>
    <row r="36" spans="9:16">
      <c r="I36" s="11" t="s">
        <v>337</v>
      </c>
      <c r="J36" s="13"/>
      <c r="N36" s="11"/>
      <c r="P36" s="13"/>
    </row>
    <row r="37" spans="9:16">
      <c r="N37" s="11"/>
      <c r="P37" s="13"/>
    </row>
    <row r="38" spans="9:16">
      <c r="N38" s="11"/>
      <c r="P38" s="13"/>
    </row>
  </sheetData>
  <conditionalFormatting sqref="G26">
    <cfRule type="aboveAverage" dxfId="0" priority="1" equalAverage="1"/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Tables'!S4:S8</xm:f>
              <xm:sqref>T13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showGridLines="0" zoomScale="50" zoomScaleNormal="50" workbookViewId="0">
      <selection activeCell="Y43" sqref="Y43"/>
    </sheetView>
  </sheetViews>
  <sheetFormatPr defaultColWidth="9.140625" defaultRowHeight="15"/>
  <cols>
    <col min="1" max="1" width="2" style="5" customWidth="1"/>
    <col min="5" max="5" width="4.42578125" customWidth="1"/>
    <col min="30" max="30" width="2" style="6" customWidth="1"/>
  </cols>
  <sheetData>
    <row r="1" spans="1:32" ht="50.1" customHeight="1">
      <c r="A1" s="56" t="s">
        <v>341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spans="1:3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spans="1:3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spans="1:3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spans="1:3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</row>
    <row r="6" spans="1:3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2" ht="2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F7" s="10"/>
    </row>
    <row r="8" spans="1:3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</row>
    <row r="9" spans="1:3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</row>
    <row r="10" spans="1:3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</row>
    <row r="11" spans="1:3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</row>
    <row r="12" spans="1:3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</row>
    <row r="13" spans="1:3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</row>
    <row r="14" spans="1:3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</row>
    <row r="15" spans="1:3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</row>
    <row r="16" spans="1:3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</row>
    <row r="17" spans="1:30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</row>
    <row r="18" spans="1:30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</row>
    <row r="19" spans="1:30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</row>
    <row r="20" spans="1:30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</row>
    <row r="21" spans="1:30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</row>
    <row r="22" spans="1:30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</row>
    <row r="23" spans="1:30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</row>
    <row r="24" spans="1:30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</row>
    <row r="25" spans="1:30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</row>
    <row r="26" spans="1:30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</row>
    <row r="27" spans="1:30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</row>
    <row r="28" spans="1:30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</row>
    <row r="29" spans="1:30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</row>
    <row r="30" spans="1:30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</row>
    <row r="31" spans="1:30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</row>
    <row r="32" spans="1:30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</row>
    <row r="33" spans="1:30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</row>
    <row r="34" spans="1:30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</row>
    <row r="35" spans="1:30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</row>
    <row r="36" spans="1:30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</row>
    <row r="37" spans="1:30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</row>
    <row r="38" spans="1:30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</row>
    <row r="39" spans="1:30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</row>
    <row r="40" spans="1:30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</row>
    <row r="41" spans="1:30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</row>
    <row r="42" spans="1:30" ht="9.9499999999999993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9"/>
    </row>
  </sheetData>
  <mergeCells count="1">
    <mergeCell ref="A1:AD1"/>
  </mergeCells>
  <pageMargins left="0.75" right="0.75" top="1" bottom="1" header="0.5" footer="0.5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GridLines="0" tabSelected="1" topLeftCell="A13" workbookViewId="0">
      <selection activeCell="B36" sqref="B36"/>
    </sheetView>
  </sheetViews>
  <sheetFormatPr defaultColWidth="9.140625" defaultRowHeight="15"/>
  <cols>
    <col min="11" max="11" width="65.140625" customWidth="1"/>
    <col min="12" max="12" width="27.5703125" customWidth="1"/>
  </cols>
  <sheetData>
    <row r="1" spans="1:13" ht="18.75">
      <c r="A1" s="1" t="s">
        <v>342</v>
      </c>
      <c r="B1" s="2"/>
      <c r="C1" s="2"/>
      <c r="D1" s="2"/>
      <c r="E1" s="2"/>
      <c r="F1" s="2"/>
      <c r="G1" s="2"/>
      <c r="J1" s="2"/>
      <c r="K1" s="1" t="s">
        <v>343</v>
      </c>
      <c r="L1" s="2"/>
    </row>
    <row r="2" spans="1:13" ht="18.75">
      <c r="A2" s="2"/>
      <c r="B2" s="2"/>
      <c r="C2" s="2"/>
      <c r="D2" s="2"/>
      <c r="E2" s="2"/>
      <c r="F2" s="2"/>
      <c r="G2" s="2"/>
      <c r="J2" s="2"/>
      <c r="K2" s="2" t="s">
        <v>12</v>
      </c>
      <c r="L2" s="2" t="s">
        <v>155</v>
      </c>
    </row>
    <row r="3" spans="1:13" ht="18.75">
      <c r="A3" s="2" t="s">
        <v>344</v>
      </c>
      <c r="B3" s="2"/>
      <c r="C3" s="2"/>
      <c r="D3" s="2"/>
      <c r="E3" s="2"/>
      <c r="F3" s="2"/>
      <c r="G3" s="2"/>
      <c r="J3" s="2"/>
      <c r="K3" s="2"/>
      <c r="L3" s="2"/>
    </row>
    <row r="4" spans="1:13" ht="18.75">
      <c r="A4" s="2" t="s">
        <v>345</v>
      </c>
      <c r="B4" s="2"/>
      <c r="C4" s="2"/>
      <c r="D4" s="2"/>
      <c r="E4" s="2"/>
      <c r="F4" s="2"/>
      <c r="G4" s="2"/>
      <c r="J4" s="2"/>
      <c r="K4" s="2" t="s">
        <v>9</v>
      </c>
      <c r="L4" s="2" t="s">
        <v>323</v>
      </c>
    </row>
    <row r="5" spans="1:13" ht="18.75">
      <c r="A5" s="2" t="s">
        <v>346</v>
      </c>
      <c r="B5" s="2"/>
      <c r="C5" s="2"/>
      <c r="D5" s="2"/>
      <c r="E5" s="2"/>
      <c r="F5" s="2"/>
      <c r="G5" s="2"/>
      <c r="J5" s="2"/>
      <c r="K5" s="2" t="s">
        <v>49</v>
      </c>
      <c r="L5" s="2">
        <v>4886</v>
      </c>
    </row>
    <row r="6" spans="1:13" ht="18.75">
      <c r="A6" s="2"/>
      <c r="B6" s="2"/>
      <c r="C6" s="2"/>
      <c r="D6" s="2"/>
      <c r="E6" s="2"/>
      <c r="F6" s="2"/>
      <c r="G6" s="2"/>
      <c r="J6" s="2"/>
      <c r="K6" s="2" t="s">
        <v>181</v>
      </c>
      <c r="L6" s="2">
        <v>3152</v>
      </c>
    </row>
    <row r="7" spans="1:13" ht="18.75">
      <c r="A7" s="2" t="s">
        <v>347</v>
      </c>
      <c r="B7" s="2"/>
      <c r="C7" s="2"/>
      <c r="D7" s="2"/>
      <c r="E7" s="2"/>
      <c r="F7" s="2"/>
      <c r="G7" s="2"/>
      <c r="J7" s="2"/>
      <c r="K7" s="2" t="s">
        <v>76</v>
      </c>
      <c r="L7" s="2">
        <v>1606</v>
      </c>
    </row>
    <row r="8" spans="1:13" ht="18.75">
      <c r="J8" s="2"/>
      <c r="K8" s="2" t="s">
        <v>348</v>
      </c>
      <c r="L8" s="2">
        <v>9644</v>
      </c>
    </row>
    <row r="11" spans="1:13" ht="18.75">
      <c r="A11" s="1" t="s">
        <v>349</v>
      </c>
      <c r="B11" s="2"/>
      <c r="C11" s="2"/>
      <c r="D11" s="2"/>
      <c r="E11" s="2"/>
      <c r="F11" s="2"/>
    </row>
    <row r="13" spans="1:13" ht="18.75">
      <c r="A13" s="1" t="s">
        <v>350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8.75">
      <c r="A14" s="1" t="s">
        <v>351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8.75">
      <c r="A15" s="1" t="s">
        <v>352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7" spans="1:11" ht="12" customHeight="1"/>
    <row r="18" spans="1:11" ht="18.75">
      <c r="A18" s="1" t="s">
        <v>353</v>
      </c>
      <c r="B18" s="2"/>
      <c r="C18" s="2"/>
      <c r="D18" s="2"/>
      <c r="E18" s="2"/>
      <c r="F18" s="2"/>
      <c r="G18" s="2"/>
      <c r="H18" s="2"/>
      <c r="I18" s="2"/>
      <c r="J18" s="2"/>
    </row>
    <row r="19" spans="1:11" ht="18.7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1" ht="18.75">
      <c r="A20" s="2" t="s">
        <v>354</v>
      </c>
      <c r="B20" s="2"/>
      <c r="C20" s="2"/>
      <c r="D20" s="2"/>
      <c r="E20" s="2"/>
      <c r="F20" s="2"/>
      <c r="G20" s="2"/>
      <c r="H20" s="2"/>
      <c r="I20" s="2"/>
      <c r="J20" s="2"/>
    </row>
    <row r="21" spans="1:11" ht="18.7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1" ht="18.7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1" ht="18.75">
      <c r="A23" s="1" t="s">
        <v>355</v>
      </c>
      <c r="B23" s="2"/>
      <c r="C23" s="2"/>
      <c r="D23" s="2"/>
      <c r="E23" s="2"/>
      <c r="F23" s="2"/>
      <c r="G23" s="2"/>
      <c r="H23" s="2"/>
      <c r="I23" s="2"/>
      <c r="J23" s="2"/>
    </row>
    <row r="24" spans="1:11" ht="18.75">
      <c r="A24" s="3" t="s">
        <v>356</v>
      </c>
      <c r="B24" s="2"/>
      <c r="C24" s="2"/>
      <c r="D24" s="2"/>
      <c r="E24" s="2"/>
      <c r="F24" s="2">
        <v>11</v>
      </c>
      <c r="G24" s="2"/>
      <c r="H24" s="2"/>
      <c r="I24" s="2"/>
      <c r="J24" s="2"/>
    </row>
    <row r="25" spans="1:11" ht="18.75">
      <c r="A25" s="2" t="s">
        <v>357</v>
      </c>
      <c r="B25" s="2"/>
      <c r="C25" s="2"/>
      <c r="D25" s="2"/>
      <c r="E25" s="2"/>
      <c r="F25" s="2">
        <f>COUNTIF(Data!$V$2:$V$101,"&lt;= 3")</f>
        <v>19</v>
      </c>
      <c r="G25" s="2"/>
      <c r="H25" s="2"/>
      <c r="I25" s="2"/>
      <c r="J25" s="2"/>
      <c r="K25" s="2"/>
    </row>
    <row r="26" spans="1:11" ht="18.75">
      <c r="A26" s="2" t="s">
        <v>358</v>
      </c>
      <c r="B26" s="2"/>
      <c r="C26" s="2"/>
      <c r="D26" s="2"/>
      <c r="E26" s="2"/>
      <c r="F26" s="2">
        <v>15</v>
      </c>
      <c r="G26" s="2"/>
      <c r="H26" s="2"/>
      <c r="I26" s="2"/>
      <c r="J26" s="2"/>
    </row>
    <row r="27" spans="1:11" ht="18.7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1" ht="18.75">
      <c r="A28" s="2" t="s">
        <v>359</v>
      </c>
      <c r="B28" s="2"/>
      <c r="C28" s="2"/>
      <c r="D28" s="2"/>
      <c r="E28" s="2"/>
      <c r="F28" s="2"/>
      <c r="G28" s="2"/>
      <c r="H28" s="2"/>
      <c r="I28" s="2"/>
      <c r="J28" s="2"/>
    </row>
    <row r="29" spans="1:11" ht="18.75">
      <c r="A29" s="2" t="s">
        <v>360</v>
      </c>
      <c r="B29" s="2"/>
      <c r="C29" s="2"/>
      <c r="D29" s="2"/>
      <c r="E29" s="2"/>
      <c r="F29" s="2"/>
      <c r="G29" s="2"/>
      <c r="H29" s="2"/>
      <c r="I29" s="2"/>
      <c r="J29" s="2"/>
    </row>
    <row r="30" spans="1:11" ht="18.7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1" ht="18.75">
      <c r="A31" s="4" t="s">
        <v>361</v>
      </c>
      <c r="B31" s="2"/>
      <c r="C31" s="2"/>
      <c r="D31" s="2"/>
      <c r="E31" s="2"/>
      <c r="F31" s="2"/>
      <c r="G31" s="2"/>
      <c r="H31" s="2"/>
      <c r="I31" s="2"/>
      <c r="J31" s="2"/>
    </row>
    <row r="32" spans="1:11" ht="18.75">
      <c r="A32" s="2" t="s">
        <v>362</v>
      </c>
    </row>
    <row r="33" spans="1:1" ht="18.75">
      <c r="A33" s="2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Regional goal</vt:lpstr>
      <vt:lpstr>Pivot Tables</vt:lpstr>
      <vt:lpstr>Dashboard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2025-08-26T15:42:00Z</dcterms:created>
  <dcterms:modified xsi:type="dcterms:W3CDTF">2026-01-20T14:58:03Z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1049F8FEAEF24084B78FFEE7F9458EDF_13</vt:lpwstr>
  </property>
  <property fmtid="{D5CDD505-2E9C-101B-9397-08002B2CF9AE}" pid="3" name="KSOProductBuildVer">
    <vt:lpwstr>1033-12.2.0.21931</vt:lpwstr>
  </property>
</Properties>
</file>